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2" documentId="13_ncr:1_{8E88AD81-67D9-4017-BF7F-DF9DD7ED1E0E}" xr6:coauthVersionLast="47" xr6:coauthVersionMax="47" xr10:uidLastSave="{D74CA16D-69CD-4FDF-80E1-424D5A06C39A}"/>
  <bookViews>
    <workbookView xWindow="-108" yWindow="-108" windowWidth="41496" windowHeight="16896"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ountries_Selected">'N1 Fitment'!#REF!</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G409" i="98" s="1"/>
  <c r="B408" i="98"/>
  <c r="B407" i="98"/>
  <c r="B406" i="98"/>
  <c r="B405" i="98"/>
  <c r="B404" i="98"/>
  <c r="B403" i="98"/>
  <c r="B402" i="98"/>
  <c r="G402" i="98" s="1"/>
  <c r="B401" i="98"/>
  <c r="G401" i="98" s="1"/>
  <c r="B400" i="98"/>
  <c r="G400" i="98" s="1"/>
  <c r="B399" i="98"/>
  <c r="G399" i="98" s="1"/>
  <c r="B381" i="98"/>
  <c r="G381" i="98" s="1"/>
  <c r="B380" i="98"/>
  <c r="G380" i="98" s="1"/>
  <c r="B379" i="98"/>
  <c r="G379" i="98" s="1"/>
  <c r="B378" i="98"/>
  <c r="G378" i="98" s="1"/>
  <c r="B377" i="98"/>
  <c r="G377" i="98" s="1"/>
  <c r="B376" i="98"/>
  <c r="B375" i="98"/>
  <c r="G375" i="98" s="1"/>
  <c r="B374" i="98"/>
  <c r="G374" i="98" s="1"/>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B359" i="98"/>
  <c r="B358" i="98"/>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G343" i="98" s="1"/>
  <c r="B342" i="98"/>
  <c r="G342" i="98" s="1"/>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B326" i="98"/>
  <c r="G326" i="98" s="1"/>
  <c r="B325" i="98"/>
  <c r="G325" i="98" s="1"/>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B311" i="98"/>
  <c r="B310" i="98"/>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B295" i="98"/>
  <c r="B294" i="98"/>
  <c r="G294" i="98" s="1"/>
  <c r="B293" i="98"/>
  <c r="G293" i="98" s="1"/>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B279" i="98"/>
  <c r="G279" i="98" s="1"/>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B263" i="98"/>
  <c r="B262" i="98"/>
  <c r="G262" i="98" s="1"/>
  <c r="B261" i="98"/>
  <c r="G261" i="98" s="1"/>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B247" i="98"/>
  <c r="G247" i="98" s="1"/>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B231" i="98"/>
  <c r="G231" i="98" s="1"/>
  <c r="B230" i="98"/>
  <c r="G230" i="98" s="1"/>
  <c r="B229" i="98"/>
  <c r="G229" i="98" s="1"/>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B215" i="98"/>
  <c r="G215" i="98" s="1"/>
  <c r="B214" i="98"/>
  <c r="G214" i="98" s="1"/>
  <c r="B213" i="98"/>
  <c r="G213" i="98" s="1"/>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B199" i="98"/>
  <c r="G199" i="98" s="1"/>
  <c r="B198" i="98"/>
  <c r="G198" i="98" s="1"/>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B183" i="98"/>
  <c r="B182" i="98"/>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B167" i="98"/>
  <c r="G167" i="98" s="1"/>
  <c r="B166" i="98"/>
  <c r="G166" i="98" s="1"/>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B151" i="98"/>
  <c r="G151" i="98" s="1"/>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G135" i="98" s="1"/>
  <c r="B134" i="98"/>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G118" i="98" s="1"/>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B103" i="98"/>
  <c r="G103" i="98" s="1"/>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B87" i="98"/>
  <c r="G87" i="98" s="1"/>
  <c r="B86" i="98"/>
  <c r="G86" i="98" s="1"/>
  <c r="B85" i="98"/>
  <c r="G85" i="98" s="1"/>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B63" i="98"/>
  <c r="G63" i="98" s="1"/>
  <c r="B62" i="98"/>
  <c r="G62" i="98" s="1"/>
  <c r="B61" i="98"/>
  <c r="G61" i="98" s="1"/>
  <c r="B57" i="98"/>
  <c r="G57" i="98" s="1"/>
  <c r="B56" i="98"/>
  <c r="G56" i="98" s="1"/>
  <c r="B23" i="98"/>
  <c r="G23" i="98" s="1"/>
  <c r="B22" i="98"/>
  <c r="G22" i="98" s="1"/>
  <c r="B12" i="98"/>
  <c r="G12" i="98" s="1"/>
  <c r="B11" i="98"/>
  <c r="G11" i="98" s="1"/>
  <c r="B10" i="98"/>
  <c r="B9" i="98"/>
  <c r="G9" i="98" s="1"/>
  <c r="B8" i="98"/>
  <c r="G8" i="98" s="1"/>
  <c r="B7" i="98"/>
  <c r="G7" i="98" s="1"/>
  <c r="B3" i="98"/>
  <c r="G3" i="98" s="1"/>
  <c r="B2" i="98"/>
  <c r="G2" i="98" s="1"/>
  <c r="B1" i="98"/>
  <c r="G1" i="98" s="1"/>
  <c r="G408" i="98"/>
  <c r="G407" i="98"/>
  <c r="G406" i="98"/>
  <c r="G405" i="98"/>
  <c r="G404" i="98"/>
  <c r="G403" i="98"/>
  <c r="G376" i="98"/>
  <c r="G360" i="98"/>
  <c r="G359" i="98"/>
  <c r="G358" i="98"/>
  <c r="G327" i="98"/>
  <c r="G312" i="98"/>
  <c r="G311" i="98"/>
  <c r="G310" i="98"/>
  <c r="G296" i="98"/>
  <c r="G295" i="98"/>
  <c r="G280" i="98"/>
  <c r="G264" i="98"/>
  <c r="G263" i="98"/>
  <c r="G248" i="98"/>
  <c r="G232" i="98"/>
  <c r="G216" i="98"/>
  <c r="G200" i="98"/>
  <c r="G184" i="98"/>
  <c r="G183" i="98"/>
  <c r="G182" i="98"/>
  <c r="G168" i="98"/>
  <c r="G152" i="98"/>
  <c r="G134" i="98"/>
  <c r="G104" i="98"/>
  <c r="G88" i="98"/>
  <c r="G64" i="98"/>
  <c r="AD26" i="99" l="1" a="1"/>
  <c r="AD26" i="99" s="1"/>
  <c r="AE26" i="99" a="1"/>
  <c r="AE26" i="99" s="1"/>
  <c r="AF26" i="99" a="1"/>
  <c r="AF26" i="99" s="1"/>
  <c r="N41" i="95" a="1"/>
  <c r="N41" i="95" s="1"/>
  <c r="N40" i="95" a="1"/>
  <c r="N40" i="95" s="1"/>
  <c r="N38" i="95" a="1"/>
  <c r="N38" i="95" s="1"/>
  <c r="N36" i="95" a="1"/>
  <c r="N36" i="95" s="1"/>
  <c r="N23" i="95" a="1"/>
  <c r="N23" i="95" s="1"/>
  <c r="N22" i="95" a="1"/>
  <c r="N22" i="95" s="1"/>
  <c r="N21" i="95" a="1"/>
  <c r="N21" i="95" s="1"/>
  <c r="N18" i="95" a="1"/>
  <c r="N18" i="95" s="1"/>
  <c r="D65" i="102" l="1"/>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D65" i="100"/>
  <c r="D70" i="100" s="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D72" i="100"/>
  <c r="G9"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70" i="98" a="1"/>
  <c r="B70" i="98" l="1"/>
  <c r="B19" i="98"/>
  <c r="B45" i="98"/>
  <c r="E8" i="97"/>
  <c r="E7" i="97"/>
  <c r="E6" i="97"/>
  <c r="AF35" i="99" a="1"/>
  <c r="AF35" i="99" s="1"/>
  <c r="B21" i="98" s="1"/>
  <c r="AE35" i="99" a="1"/>
  <c r="AE35" i="99" s="1"/>
  <c r="AD35" i="99" a="1"/>
  <c r="AD35" i="99" s="1"/>
  <c r="B20" i="98" s="1"/>
  <c r="B38" i="99"/>
  <c r="B383" i="98" a="1"/>
  <c r="B46" i="98" a="1"/>
  <c r="B382" i="98" a="1"/>
  <c r="B393" i="98" a="1"/>
  <c r="B389" i="98" a="1"/>
  <c r="B394" i="98" a="1"/>
  <c r="B391" i="98" a="1"/>
  <c r="B398" i="98" a="1"/>
  <c r="B390" i="98" a="1"/>
  <c r="B388" i="98" a="1"/>
  <c r="B385" i="98" a="1"/>
  <c r="B395" i="98" a="1"/>
  <c r="B384" i="98" a="1"/>
  <c r="B392" i="98" a="1"/>
  <c r="B383" i="98" l="1"/>
  <c r="B384" i="98"/>
  <c r="B391" i="98"/>
  <c r="B388" i="98"/>
  <c r="B382" i="98"/>
  <c r="B398" i="98"/>
  <c r="B390" i="98"/>
  <c r="B394" i="98"/>
  <c r="B385" i="98"/>
  <c r="B395" i="98"/>
  <c r="B389" i="98"/>
  <c r="B392" i="98"/>
  <c r="B46" i="98"/>
  <c r="B393" i="98"/>
  <c r="E11" i="97"/>
  <c r="B66" i="98"/>
  <c r="B69" i="98"/>
  <c r="B68" i="98"/>
  <c r="E9" i="97"/>
  <c r="E10" i="97"/>
  <c r="F47" i="96"/>
  <c r="E47" i="96"/>
  <c r="D47" i="96"/>
  <c r="E36" i="96"/>
  <c r="D36" i="96"/>
  <c r="F25" i="96"/>
  <c r="E25" i="96"/>
  <c r="D25" i="96"/>
  <c r="F14" i="96"/>
  <c r="E14" i="96"/>
  <c r="D14" i="96"/>
  <c r="C2" i="97"/>
  <c r="E16" i="97"/>
  <c r="H11" i="97"/>
  <c r="H10" i="97"/>
  <c r="H9" i="97"/>
  <c r="H8" i="97"/>
  <c r="H7" i="97"/>
  <c r="H6" i="97"/>
  <c r="C5" i="97"/>
  <c r="B67" i="98" a="1"/>
  <c r="B67" i="98" l="1"/>
  <c r="E28" i="68"/>
  <c r="E27" i="68"/>
  <c r="E26" i="68"/>
  <c r="E22" i="68"/>
  <c r="E21" i="68"/>
  <c r="E20" i="68"/>
  <c r="E19" i="68"/>
  <c r="E18" i="68"/>
  <c r="E17" i="68"/>
  <c r="E16" i="68"/>
  <c r="E15" i="68"/>
  <c r="E14" i="68"/>
  <c r="E13" i="68"/>
  <c r="E11"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B58" i="98" s="1"/>
  <c r="D100" i="95"/>
  <c r="I101" i="95"/>
  <c r="I100" i="95"/>
  <c r="D101" i="95"/>
  <c r="B59" i="98" a="1"/>
  <c r="B59" i="98" l="1"/>
  <c r="F96" i="95"/>
  <c r="F95" i="95"/>
  <c r="D15" i="95"/>
  <c r="D97" i="95" l="1"/>
  <c r="D104" i="95" s="1"/>
  <c r="D110" i="95" s="1"/>
  <c r="I57" i="95"/>
  <c r="D57" i="95"/>
  <c r="B387" i="98" a="1"/>
  <c r="B386" i="98" a="1"/>
  <c r="B386" i="98" l="1"/>
  <c r="B387" i="98"/>
  <c r="D102" i="95"/>
  <c r="D107" i="95" s="1"/>
  <c r="I102" i="95"/>
  <c r="D108" i="95" s="1"/>
  <c r="D112" i="95" l="1"/>
  <c r="G6" i="97" s="1"/>
  <c r="E77" i="94"/>
  <c r="E76" i="94"/>
  <c r="E75" i="94"/>
  <c r="E74" i="94"/>
  <c r="E73" i="94"/>
  <c r="E72" i="94"/>
  <c r="E71" i="94"/>
  <c r="E67" i="94"/>
  <c r="E66" i="94"/>
  <c r="E65" i="94"/>
  <c r="E64" i="94"/>
  <c r="B25" i="98" l="1"/>
  <c r="D78" i="94"/>
  <c r="E63" i="94"/>
  <c r="E62" i="94"/>
  <c r="E61" i="94"/>
  <c r="E60" i="94"/>
  <c r="B26" i="98" a="1"/>
  <c r="B26" i="98" l="1"/>
  <c r="B28" i="98"/>
  <c r="B27" i="98"/>
  <c r="D68" i="94"/>
  <c r="D84" i="94" s="1"/>
  <c r="B397" i="98" a="1"/>
  <c r="B397" i="98" l="1"/>
  <c r="D15" i="94"/>
  <c r="E34" i="94"/>
  <c r="E35" i="94"/>
  <c r="E36" i="94"/>
  <c r="E37" i="94"/>
  <c r="E38" i="94"/>
  <c r="E39" i="94"/>
  <c r="E40" i="94"/>
  <c r="E41" i="94"/>
  <c r="E42" i="94"/>
  <c r="D43" i="94" l="1"/>
  <c r="D82" i="94" l="1"/>
  <c r="B396" i="98" a="1"/>
  <c r="B396" i="98" l="1"/>
  <c r="D86" i="94"/>
  <c r="G8" i="97" s="1"/>
  <c r="E41" i="68"/>
  <c r="E38" i="68"/>
  <c r="E35" i="68"/>
  <c r="B50" i="98" l="1"/>
  <c r="D29" i="68"/>
  <c r="B51" i="98" a="1"/>
  <c r="B51" i="98" l="1"/>
  <c r="D39" i="68"/>
  <c r="D42" i="68" l="1"/>
  <c r="D36" i="68"/>
  <c r="D43" i="68" l="1"/>
  <c r="D46" i="68" l="1"/>
  <c r="D47" i="68" l="1"/>
  <c r="D49" i="68" l="1"/>
  <c r="G10" i="97" s="1"/>
  <c r="B54" i="98" s="1"/>
  <c r="B55" i="98" a="1"/>
  <c r="B55" i="98" l="1"/>
  <c r="F12" i="97"/>
  <c r="F5" i="97" l="1"/>
  <c r="F14" i="97"/>
  <c r="B5" i="98" s="1"/>
  <c r="H16" i="97" l="1"/>
  <c r="F2" i="97"/>
  <c r="B4" i="98" s="1"/>
  <c r="G10" i="98" l="1"/>
  <c r="G70" i="98" l="1"/>
  <c r="G71" i="98"/>
  <c r="G72" i="98"/>
  <c r="G14" i="98"/>
  <c r="G15" i="98"/>
  <c r="G60" i="98" l="1"/>
  <c r="G19" i="98"/>
  <c r="G395" i="98"/>
  <c r="G389" i="98"/>
  <c r="G394" i="98"/>
  <c r="G391" i="98"/>
  <c r="G390" i="98"/>
  <c r="G17" i="98"/>
  <c r="G45" i="98"/>
  <c r="G46" i="98"/>
  <c r="G393" i="98"/>
  <c r="G392" i="98"/>
  <c r="G16" i="98"/>
  <c r="G398" i="98"/>
  <c r="G397" i="98"/>
  <c r="G51" i="98"/>
  <c r="G50" i="98"/>
  <c r="G18" i="98"/>
  <c r="G396" i="98"/>
  <c r="G383" i="98" l="1"/>
  <c r="G382" i="98"/>
  <c r="G388" i="98"/>
  <c r="G385" i="98"/>
  <c r="G384" i="98"/>
  <c r="G68" i="98"/>
  <c r="G20" i="98"/>
  <c r="G69" i="98"/>
  <c r="G21" i="98"/>
  <c r="G58" i="98" l="1"/>
  <c r="G59" i="98" l="1"/>
  <c r="G386" i="98" l="1"/>
  <c r="G387" i="98"/>
  <c r="G26" i="98" l="1"/>
  <c r="G25" i="98"/>
  <c r="G28" i="98"/>
  <c r="G27"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<sst xmlns="http://schemas.openxmlformats.org/spreadsheetml/2006/main" count="2387" uniqueCount="827">
  <si>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</si>
  <si>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</si>
  <si>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</si>
  <si>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</si>
  <si>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</si>
  <si>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</si>
  <si>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</si>
  <si>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</si>
  <si>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</si>
  <si>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</si>
  <si>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</si>
  <si>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</si>
  <si>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</si>
  <si>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</si>
  <si>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</si>
  <si>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</si>
  <si>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</si>
  <si>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</si>
  <si>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</si>
  <si>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</si>
  <si>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</si>
  <si>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</si>
  <si>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</si>
  <si>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</si>
  <si>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</si>
  <si>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</si>
  <si>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</si>
  <si>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</si>
  <si>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</si>
  <si>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</si>
  <si>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</si>
  <si>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</si>
  <si>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</si>
  <si>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</si>
  <si>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</si>
  <si>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</si>
  <si>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</si>
  <si>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</si>
  <si>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</si>
  <si>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</si>
  <si>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</si>
  <si>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</si>
  <si>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</si>
  <si>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</si>
  <si>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</si>
  <si>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</si>
  <si>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</si>
  <si>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</si>
  <si>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</si>
  <si>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</si>
  <si>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</si>
  <si>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</si>
  <si>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</si>
  <si>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</si>
  <si>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</si>
  <si>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</si>
  <si>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</si>
  <si>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</si>
  <si>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</si>
  <si>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</si>
  <si>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</si>
  <si>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</si>
  <si>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</si>
  <si>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</si>
  <si>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</si>
  <si>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</si>
  <si>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</si>
  <si>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</si>
  <si>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</si>
  <si>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</si>
  <si>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</si>
  <si>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</si>
  <si>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</si>
  <si>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</si>
  <si>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</si>
  <si>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</si>
  <si>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</si>
  <si>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</si>
  <si>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</si>
  <si>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</si>
  <si>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</si>
  <si>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</si>
  <si>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</si>
  <si>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</si>
  <si>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</si>
  <si>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</si>
  <si>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</si>
  <si>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</si>
  <si>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</si>
  <si>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</si>
  <si>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</si>
  <si>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</si>
  <si>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</si>
  <si>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</si>
  <si>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</si>
  <si>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</si>
  <si>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</si>
  <si>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</si>
  <si>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</si>
  <si>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</si>
  <si>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</si>
  <si>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</si>
  <si>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</si>
  <si>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</si>
  <si>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</si>
  <si>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</si>
  <si>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</si>
  <si>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</si>
  <si>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</si>
  <si>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</si>
  <si>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</si>
  <si>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</si>
  <si>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</si>
  <si>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</si>
  <si>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</si>
  <si>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</si>
  <si>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</si>
  <si>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</si>
  <si>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</si>
  <si>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</si>
  <si>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</si>
  <si>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</si>
  <si>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</si>
  <si>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</si>
  <si>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</si>
  <si>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</si>
  <si>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</si>
  <si>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</si>
  <si>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</si>
  <si>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</si>
  <si>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</si>
  <si>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</si>
  <si>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</si>
  <si>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</si>
  <si>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</si>
  <si>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</si>
  <si>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</si>
  <si>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</si>
  <si>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</si>
  <si>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</si>
  <si>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</si>
  <si>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</si>
  <si>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</si>
  <si>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</si>
  <si>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</si>
  <si>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</si>
  <si>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</si>
  <si>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</si>
  <si>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</si>
  <si>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</si>
  <si>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</si>
  <si>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</si>
  <si>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</si>
  <si>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</si>
  <si>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</si>
  <si>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</si>
  <si>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</si>
  <si>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</si>
  <si>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</si>
  <si>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</si>
  <si>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</si>
  <si>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</si>
  <si>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</si>
  <si>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</si>
  <si>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</si>
  <si>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</si>
  <si>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</si>
  <si>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</si>
  <si>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</si>
  <si>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</si>
  <si>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</si>
  <si>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</si>
  <si>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</si>
  <si>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</si>
  <si>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</si>
  <si>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</si>
  <si>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</si>
  <si>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</si>
  <si>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</si>
  <si>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</si>
  <si>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</si>
  <si>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</si>
  <si>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</si>
  <si>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</si>
  <si>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</si>
  <si>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</si>
  <si>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</si>
  <si>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</si>
  <si>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</si>
  <si>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</si>
  <si>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</si>
  <si>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</si>
  <si>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</si>
  <si>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</si>
  <si>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</si>
  <si>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</si>
  <si>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</si>
  <si>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</si>
  <si>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</si>
  <si>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</si>
  <si>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</si>
  <si>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</si>
  <si>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</si>
  <si>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</si>
  <si>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</si>
  <si>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</si>
  <si>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</si>
  <si>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</si>
  <si>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</si>
  <si>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</si>
  <si>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</si>
  <si>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</si>
  <si>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</si>
  <si>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</si>
  <si>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</si>
  <si>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</si>
  <si>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</si>
  <si>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</si>
  <si>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</si>
  <si>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</si>
  <si>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</si>
  <si>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</si>
  <si>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</si>
  <si>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</si>
  <si>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</si>
  <si>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</si>
  <si>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</si>
  <si>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</si>
  <si>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</si>
  <si>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</si>
  <si>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</si>
  <si>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</si>
  <si>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</si>
  <si>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</si>
  <si>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</si>
  <si>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</si>
  <si>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</si>
  <si>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</si>
  <si>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</si>
  <si>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</si>
  <si>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</si>
  <si>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</si>
  <si>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</si>
  <si>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</si>
  <si>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</si>
  <si>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</si>
  <si>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</si>
  <si>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</si>
  <si>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</si>
  <si>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</si>
  <si>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</si>
  <si>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</si>
  <si>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</si>
  <si>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</si>
  <si>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</si>
  <si>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</si>
  <si>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</si>
  <si>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</si>
  <si>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</si>
  <si>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</si>
  <si>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</si>
  <si>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</si>
  <si>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</si>
  <si>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</si>
  <si>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</si>
  <si>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</si>
  <si>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</si>
  <si>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</si>
  <si>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</si>
  <si>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</si>
  <si>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</si>
  <si>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</si>
  <si>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</si>
  <si>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</si>
  <si>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</si>
  <si>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</si>
  <si>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</si>
  <si>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</si>
  <si>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</si>
  <si>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</si>
  <si>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</si>
  <si>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</si>
  <si>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</si>
  <si>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</si>
  <si>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</si>
  <si>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</si>
  <si>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</si>
  <si>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</si>
  <si>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</si>
  <si>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</si>
  <si>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</si>
  <si>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</si>
  <si>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</si>
  <si>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</si>
  <si>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</si>
  <si>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</si>
  <si>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</si>
  <si>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</si>
  <si>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</si>
  <si>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</si>
  <si>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</si>
  <si>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</si>
  <si>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</si>
  <si>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</si>
  <si>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</si>
  <si>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</si>
  <si>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</si>
  <si>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</si>
  <si>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</si>
  <si>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</si>
  <si>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</si>
  <si>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</si>
  <si>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</si>
  <si>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</si>
  <si>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</si>
  <si>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</si>
  <si>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</si>
  <si>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</si>
  <si>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</si>
  <si>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</si>
  <si>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</si>
  <si>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</si>
  <si>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</si>
  <si>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</si>
  <si>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</si>
  <si>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</si>
  <si>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</si>
  <si>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</si>
  <si>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</si>
  <si>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</si>
  <si>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</si>
  <si>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</si>
  <si>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</si>
  <si>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</si>
  <si>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</si>
  <si>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</si>
  <si>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</si>
  <si>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</si>
  <si>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</si>
  <si>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</si>
  <si>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</si>
  <si>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</si>
  <si>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</si>
  <si>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</si>
  <si>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</si>
  <si>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</si>
  <si>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</si>
  <si>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</si>
  <si>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</si>
  <si>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</si>
  <si>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</si>
  <si>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</si>
  <si>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</si>
  <si>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</si>
  <si>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</si>
  <si>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</si>
  <si>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</si>
  <si>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</si>
  <si>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</si>
  <si>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</si>
  <si>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</si>
  <si>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</si>
  <si>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</si>
  <si>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</si>
  <si>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</si>
  <si>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</si>
  <si>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</si>
  <si>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</si>
  <si>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</si>
  <si>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</si>
  <si>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</si>
  <si>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</si>
  <si>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</si>
  <si>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</si>
  <si>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</si>
  <si>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</si>
  <si>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</si>
  <si>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</si>
  <si>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</si>
  <si>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</si>
  <si>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</si>
  <si>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</si>
  <si>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</si>
  <si>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</si>
  <si>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</si>
  <si>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</si>
  <si>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</si>
  <si>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</si>
  <si>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</si>
  <si>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</si>
  <si>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</si>
  <si>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</si>
  <si>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</si>
  <si>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</si>
  <si>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</si>
  <si>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</si>
  <si>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</si>
  <si>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</si>
  <si>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</si>
  <si>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</si>
  <si>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</si>
  <si>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</si>
  <si>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</si>
  <si>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</si>
  <si>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</si>
  <si>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</si>
  <si>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</si>
  <si>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</si>
  <si>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</si>
  <si>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</si>
  <si>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</si>
  <si>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</si>
  <si>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</si>
  <si>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</si>
  <si>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</si>
  <si>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</si>
  <si>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</si>
  <si>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</si>
  <si>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</si>
  <si>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</si>
  <si>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</si>
  <si>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</si>
  <si>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</si>
  <si>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</si>
  <si>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</si>
  <si>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</si>
  <si>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</si>
  <si>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</si>
  <si>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</si>
  <si>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</si>
  <si>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</si>
  <si>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</si>
  <si>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</si>
  <si>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</si>
  <si>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</si>
  <si>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</si>
  <si>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</si>
  <si>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</si>
  <si>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</si>
  <si>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</si>
  <si>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</si>
  <si>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</si>
  <si>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</si>
  <si>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</si>
  <si>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</si>
  <si>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</si>
  <si>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</si>
  <si>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</si>
  <si>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</si>
  <si>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</si>
  <si>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</si>
  <si>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</si>
  <si>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</si>
  <si>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</si>
  <si>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</si>
  <si>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</si>
  <si>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</si>
  <si>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</si>
  <si>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</si>
  <si>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</si>
  <si>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</si>
  <si>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</si>
  <si>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</si>
  <si>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</si>
  <si>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</si>
  <si>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</si>
  <si>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</si>
  <si>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</si>
  <si>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</si>
  <si>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</si>
  <si>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</si>
  <si>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</si>
  <si>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</si>
  <si>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</si>
  <si>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</si>
  <si>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</si>
  <si>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</si>
  <si>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</si>
  <si>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</si>
  <si>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</si>
  <si>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</si>
  <si>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</si>
  <si>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</si>
  <si>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</si>
  <si>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</si>
  <si>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</si>
  <si>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</si>
  <si>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</si>
  <si>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</si>
  <si>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</si>
  <si>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</si>
  <si>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</si>
  <si>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</si>
  <si>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</si>
  <si>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</si>
  <si>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</si>
  <si>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</si>
  <si>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</si>
  <si>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</si>
  <si>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</si>
  <si>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</si>
  <si>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</si>
  <si>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</si>
  <si>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</si>
  <si>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</si>
  <si>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</si>
  <si>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</si>
  <si>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</si>
  <si>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</si>
  <si>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</si>
  <si>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</si>
  <si>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</si>
  <si>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</si>
  <si>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</si>
  <si>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</si>
  <si>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</si>
  <si>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</si>
  <si>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</si>
  <si>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</si>
  <si>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</si>
  <si>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</si>
  <si>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</si>
  <si>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</si>
  <si>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</si>
  <si>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</si>
  <si>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</si>
  <si>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</si>
  <si>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</si>
  <si>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</si>
  <si>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</si>
  <si>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</si>
  <si>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</si>
  <si>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</si>
  <si>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</si>
  <si>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</si>
  <si>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</si>
  <si>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</si>
  <si>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</si>
  <si>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</si>
  <si>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</si>
  <si>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</si>
  <si>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</si>
  <si>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</si>
  <si>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</si>
  <si>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</si>
  <si>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</si>
  <si>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</si>
  <si>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</si>
  <si>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</si>
  <si>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</si>
  <si>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</si>
  <si>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</si>
  <si>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</si>
  <si>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</si>
  <si>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</si>
  <si>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</si>
  <si>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</si>
  <si>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</si>
  <si>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</si>
  <si>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</si>
  <si>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</si>
  <si>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</si>
  <si>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</si>
  <si>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</si>
  <si>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</si>
  <si>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</si>
  <si>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</si>
  <si>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</si>
  <si>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</si>
  <si>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</si>
  <si>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</si>
  <si>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</si>
  <si>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</si>
  <si>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</si>
  <si>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</si>
  <si>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</si>
  <si>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</si>
  <si>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</si>
  <si>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</si>
  <si>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</si>
  <si>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</si>
  <si>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</si>
  <si>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</si>
  <si>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</si>
  <si>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</si>
  <si>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</si>
  <si>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</si>
  <si>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</si>
  <si>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</si>
  <si>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</si>
  <si>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</si>
  <si>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</si>
  <si>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</si>
  <si>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</si>
  <si>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</si>
  <si>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</si>
  <si>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</si>
  <si>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</si>
  <si>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</si>
  <si>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</si>
  <si>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</si>
  <si>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</si>
  <si>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</si>
  <si>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</si>
  <si>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</si>
  <si>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</si>
  <si>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</si>
  <si>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</si>
  <si>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</si>
  <si>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</si>
  <si>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</si>
  <si>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</si>
  <si>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</si>
  <si>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</si>
  <si>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</si>
  <si>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</si>
  <si>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</si>
  <si>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</si>
  <si>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</si>
  <si>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</si>
  <si>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</si>
  <si>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</si>
  <si>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</si>
  <si>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</si>
  <si>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</si>
  <si>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</si>
  <si>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</si>
  <si>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</si>
  <si>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</si>
  <si>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</si>
  <si>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</si>
  <si>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</si>
  <si>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</si>
  <si>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</si>
  <si>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</si>
  <si>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</si>
  <si>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</si>
  <si>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</si>
  <si>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</si>
  <si>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</si>
  <si>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</si>
  <si>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</si>
  <si>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</si>
  <si>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</si>
  <si>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</si>
  <si>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</si>
  <si>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</si>
  <si>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</si>
  <si>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</si>
  <si>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</si>
  <si>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</si>
  <si>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</si>
  <si>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</si>
  <si>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</si>
  <si>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</si>
  <si>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</si>
  <si>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</si>
  <si>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</si>
  <si>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</si>
  <si>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</si>
  <si>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</si>
  <si>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</si>
  <si>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</si>
  <si>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</si>
  <si>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</si>
  <si>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</si>
  <si>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</si>
  <si>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</si>
  <si>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</si>
  <si>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</si>
  <si>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</si>
  <si>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</si>
  <si>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</si>
  <si>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</si>
  <si>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</si>
  <si>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</si>
  <si>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</si>
  <si>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</si>
  <si>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</si>
  <si>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</si>
  <si>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</si>
  <si>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</si>
  <si>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</si>
  <si>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</si>
  <si>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</si>
  <si>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</si>
  <si>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</si>
  <si>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</si>
  <si>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</si>
  <si>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</si>
  <si>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</si>
  <si>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</si>
  <si>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</si>
  <si>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</si>
  <si>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</si>
  <si>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</si>
  <si>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</si>
  <si>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</si>
  <si>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</si>
  <si>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</si>
  <si>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</si>
  <si>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</si>
  <si>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</si>
  <si>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</si>
  <si>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</si>
  <si>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</si>
  <si>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</si>
  <si>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</si>
  <si>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</si>
  <si>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</si>
  <si>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</si>
  <si>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</si>
  <si>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</si>
  <si>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</si>
  <si>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</si>
  <si>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</si>
  <si>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</si>
  <si>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</si>
  <si>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</si>
  <si>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</si>
  <si>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</si>
  <si>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</si>
  <si>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</si>
  <si>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</si>
  <si>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</si>
  <si>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</si>
  <si>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</si>
  <si>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</si>
  <si>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</si>
  <si>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</si>
  <si>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</si>
  <si>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</si>
  <si>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</si>
  <si>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</si>
  <si>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</si>
  <si>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</si>
  <si>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Pass</t>
  </si>
  <si>
    <t>Warning function</t>
  </si>
  <si>
    <t>Default ON at start of every journey</t>
  </si>
  <si>
    <t>Visual warning in direct field of driver's view</t>
  </si>
  <si>
    <t>Flashing Traffic Sign</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</si>
  <si>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</si>
  <si>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</si>
  <si>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</si>
  <si>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</si>
  <si>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</si>
  <si>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</si>
  <si>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</si>
  <si>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</si>
  <si>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</si>
  <si>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</si>
  <si>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</si>
  <si>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</si>
  <si>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</si>
  <si>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</si>
  <si>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</si>
  <si>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</si>
  <si>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</si>
  <si>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</si>
  <si>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</si>
  <si>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</si>
  <si>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</si>
  <si>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</si>
  <si>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</si>
  <si>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</si>
  <si>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</si>
  <si>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</si>
  <si>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</si>
  <si>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</si>
  <si>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</si>
  <si>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</si>
  <si>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</si>
  <si>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</si>
  <si>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Auto-Brake with Forward Collision Warning</t>
  </si>
  <si>
    <t>Camera based</t>
  </si>
  <si>
    <t>Instrument Panel</t>
  </si>
  <si>
    <t>&gt;10s</t>
  </si>
  <si>
    <t>System advised</t>
  </si>
  <si>
    <t>2020</t>
  </si>
  <si>
    <t>No</t>
  </si>
  <si>
    <t>Data</t>
  </si>
  <si>
    <t>from</t>
  </si>
  <si>
    <t>FIAT</t>
  </si>
  <si>
    <t>Ducato</t>
  </si>
  <si>
    <t>2.2 MJT 180CV</t>
  </si>
  <si>
    <t>Medium wheel base</t>
  </si>
  <si>
    <t>N1</t>
  </si>
  <si>
    <t>ZFA25000002S79626</t>
  </si>
  <si>
    <t>2,2 MJT 180CV</t>
  </si>
  <si>
    <t>Pack Safety</t>
  </si>
  <si>
    <t>Van</t>
  </si>
  <si>
    <t>2022 on</t>
  </si>
  <si>
    <t>LHD</t>
  </si>
  <si>
    <t>0</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</si>
  <si>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</si>
  <si>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</si>
  <si>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</si>
  <si>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</si>
  <si>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</si>
  <si>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</si>
  <si>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</si>
  <si>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</si>
  <si>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</si>
  <si>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</si>
  <si>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</si>
  <si>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</si>
  <si>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</si>
  <si>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</si>
  <si>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</si>
  <si>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</si>
  <si>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</si>
  <si>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</si>
  <si>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</si>
  <si>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</si>
  <si>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</si>
  <si>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</si>
  <si>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</si>
  <si>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</si>
  <si>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</si>
  <si>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</si>
  <si>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</si>
  <si>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</si>
  <si>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radar only?</t>
  </si>
  <si>
    <t>Norway</t>
  </si>
  <si>
    <t>2022 field &gt; not needed in 2023 (added at bottom)</t>
  </si>
  <si>
    <t>The Ducato was comprehensively re-worked for 2022 and the 2023 van remains unchanged from last year's model.  Rated Platinum last year, the Ducato drops to Gold against Euro NCAP's tougher 2023 protocols.  Despite the drop in rating, the Ducato remains one of the best choices available for those van buyers looking for safety.</t>
  </si>
  <si>
    <t>In tests of its response to other vehicles, the autonomous emergency braking (AEB) system performed well at low speeds, even when the target was highly offset relative to the path of the test vehicle.  However, above a certain speed, there was little or no response.  This phenomenon was mirrored in the performance of the forward collision warning (FCW) system.  Similar behaviour was observed when the target in front of the Ducato was stationary and when the target was moving at a slower speed than it.  In tests where the target was braking, the Ducato managed to avoid collision, even when the gap between the van and the target was small and the target was braking heavily.  The AEB system responds to vulnerable road users and, in this regard, it performed well, although Euro NCAP was not able to test the vehicle against the updated scenarios of the 2023 protocols.  In the tests that were performed, collisions were avoided with adult and child pedestrian targets up to the highest test speeds. 
The Ducato offers lane keep assist (LKA), which helps to steer the vehicle back to its intended path if it is drifting out of lane.  The system even intervenes in some more critical situations to prevent the vehicle from leaving the road and, overall, performance was good with around half of the available points being scored.
A camera-based speed-limit information system identifies the local limit using traffic-sign recognition and provides this information to the driver.  The driver-set speed limiter maintained speed sufficiently accurately to meet Euro NCAP’s requirements and the system was rewarded.
A seatbelt reminder is standard equipment for all three front seats but only the system for the driver's seat met Euro NCAP's requirements.  A driver-status monitoring system is available to help combat fatigued/impaired driving.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</si>
</sst>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3">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9"/>
      <name val="Calibri"/>
      <family val="2"/>
    </font>
    <font>
      <vertAlign val="subscript"/>
      <sz val="9"/>
      <name val="Calibri"/>
      <family val="2"/>
    </font>
    <font>
      <sz val="10"/>
      <color rgb="FFFF0000"/>
      <name val="Arial"/>
      <family val="2"/>
    </font>
    <font>
      <b/>
      <sz val="10"/>
      <color rgb="FFFF0000"/>
      <name val="Arial"/>
      <family val="2"/>
    </font>
    <font>
      <b/>
      <sz val="10"/>
      <color rgb="FFFF0000"/>
      <name val="Calibri"/>
      <family val="2"/>
    </font>
    <font>
      <sz val="10"/>
      <name val="Segoe UI"/>
      <family val="2"/>
    </font>
    <font>
      <b/>
      <sz val="24"/>
      <name val="Calibri"/>
      <family val="2"/>
      <scheme val="minor"/>
    </font>
    <font>
      <sz val="10"/>
      <color rgb="FFFF0000"/>
      <name val="Segoe UI"/>
      <family val="2"/>
    </font>
  </fonts>
  <fills count="1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
      <patternFill patternType="solid">
        <fgColor rgb="FFFFC000"/>
        <bgColor indexed="64"/>
      </patternFill>
    </fill>
  </fills>
  <borders count="88">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auto="1"/>
      </right>
      <top style="thin">
        <color auto="1"/>
      </top>
      <bottom style="thin">
        <color auto="1"/>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8" fillId="0" borderId="0"/>
  </cellStyleXfs>
  <cellXfs count="829">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2" fontId="10" fillId="8" borderId="2" xfId="0" applyNumberFormat="1" applyFont="1" applyFill="1" applyBorder="1" applyAlignment="1">
      <alignment horizontal="center"/>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49" fontId="32" fillId="8" borderId="25" xfId="1" applyNumberFormat="1" applyFont="1" applyFill="1" applyBorder="1" applyAlignment="1" applyProtection="1">
      <alignment horizontal="center" vertical="center"/>
      <protection locked="0"/>
    </xf>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49" fontId="32" fillId="8" borderId="42" xfId="1" applyNumberFormat="1" applyFont="1" applyFill="1" applyBorder="1" applyAlignment="1" applyProtection="1">
      <alignment horizontal="center" vertical="center"/>
      <protection locked="0"/>
    </xf>
    <xf numFmtId="49" fontId="10" fillId="3" borderId="2" xfId="0" applyNumberFormat="1" applyFont="1" applyFill="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1"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5" xfId="1" applyNumberFormat="1" applyFont="1" applyFill="1" applyBorder="1" applyAlignment="1" applyProtection="1">
      <alignment horizontal="center" vertical="center"/>
      <protection locked="0"/>
    </xf>
    <xf numFmtId="49" fontId="32" fillId="8" borderId="62" xfId="1" applyNumberFormat="1" applyFont="1" applyFill="1" applyBorder="1" applyAlignment="1" applyProtection="1">
      <alignment horizontal="center" vertical="center"/>
      <protection locked="0"/>
    </xf>
    <xf numFmtId="49" fontId="32" fillId="8" borderId="60" xfId="1" applyNumberFormat="1" applyFont="1" applyFill="1" applyBorder="1" applyAlignment="1" applyProtection="1">
      <alignment horizontal="center" vertical="center"/>
      <protection locked="0"/>
    </xf>
    <xf numFmtId="49" fontId="32" fillId="8" borderId="61" xfId="1" applyNumberFormat="1" applyFont="1" applyFill="1" applyBorder="1" applyAlignment="1" applyProtection="1">
      <alignment horizontal="center"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5" fillId="0" borderId="0" xfId="5" applyFont="1"/>
    <xf numFmtId="0" fontId="46" fillId="0" borderId="0" xfId="5" applyFont="1" applyAlignment="1">
      <alignment vertical="center"/>
    </xf>
    <xf numFmtId="0" fontId="43"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3" fillId="0" borderId="2" xfId="5" applyFont="1" applyBorder="1" applyAlignment="1">
      <alignment horizontal="center"/>
    </xf>
    <xf numFmtId="0" fontId="43" fillId="0" borderId="9" xfId="5" applyFont="1" applyBorder="1"/>
    <xf numFmtId="0" fontId="43" fillId="0" borderId="11" xfId="5" applyFont="1" applyBorder="1"/>
    <xf numFmtId="0" fontId="1" fillId="0" borderId="20" xfId="5" applyBorder="1"/>
    <xf numFmtId="0" fontId="43" fillId="0" borderId="3" xfId="5" applyFont="1" applyBorder="1" applyAlignment="1">
      <alignment horizontal="center"/>
    </xf>
    <xf numFmtId="0" fontId="47" fillId="0" borderId="31" xfId="5" applyFont="1" applyBorder="1" applyAlignment="1">
      <alignment horizontal="center" vertical="top" wrapText="1"/>
    </xf>
    <xf numFmtId="0" fontId="47" fillId="0" borderId="13" xfId="5" applyFont="1" applyBorder="1" applyAlignment="1">
      <alignment horizontal="center" vertical="top" wrapText="1"/>
    </xf>
    <xf numFmtId="0" fontId="47" fillId="0" borderId="38" xfId="5" applyFont="1" applyBorder="1" applyAlignment="1">
      <alignment horizontal="center" vertical="top" wrapText="1"/>
    </xf>
    <xf numFmtId="0" fontId="47" fillId="0" borderId="37" xfId="5" applyFont="1" applyBorder="1" applyAlignment="1">
      <alignment horizontal="center" vertical="top" wrapText="1"/>
    </xf>
    <xf numFmtId="0" fontId="47" fillId="0" borderId="11" xfId="5" applyFont="1" applyBorder="1" applyAlignment="1">
      <alignment horizontal="center" vertical="top" wrapText="1"/>
    </xf>
    <xf numFmtId="0" fontId="47" fillId="0" borderId="24" xfId="5" applyFont="1" applyBorder="1" applyAlignment="1">
      <alignment horizontal="center" vertical="top"/>
    </xf>
    <xf numFmtId="0" fontId="47" fillId="0" borderId="27" xfId="5" applyFont="1" applyBorder="1" applyAlignment="1">
      <alignment horizontal="center" vertical="top"/>
    </xf>
    <xf numFmtId="0" fontId="47" fillId="0" borderId="37" xfId="5" applyFont="1" applyBorder="1" applyAlignment="1">
      <alignment horizontal="center" vertical="top"/>
    </xf>
    <xf numFmtId="0" fontId="47" fillId="0" borderId="27" xfId="5" applyFont="1" applyBorder="1" applyAlignment="1">
      <alignment horizontal="center" vertical="top" wrapText="1"/>
    </xf>
    <xf numFmtId="0" fontId="47" fillId="0" borderId="24" xfId="5" applyFont="1" applyBorder="1" applyAlignment="1">
      <alignment horizontal="center" vertical="top" wrapText="1"/>
    </xf>
    <xf numFmtId="0" fontId="47" fillId="0" borderId="15" xfId="5" applyFont="1" applyBorder="1" applyAlignment="1">
      <alignment horizontal="center" vertical="top" wrapText="1"/>
    </xf>
    <xf numFmtId="0" fontId="47" fillId="0" borderId="9" xfId="5" applyFont="1" applyBorder="1" applyAlignment="1">
      <alignment horizontal="center" vertical="top" wrapText="1"/>
    </xf>
    <xf numFmtId="0" fontId="43" fillId="0" borderId="21" xfId="5" applyFont="1" applyBorder="1" applyAlignment="1">
      <alignment horizontal="center"/>
    </xf>
    <xf numFmtId="0" fontId="43" fillId="0" borderId="2" xfId="5" applyFont="1" applyBorder="1" applyAlignment="1">
      <alignment horizontal="left"/>
    </xf>
    <xf numFmtId="0" fontId="43" fillId="0" borderId="20" xfId="5" applyFont="1" applyBorder="1" applyAlignment="1">
      <alignment horizontal="center"/>
    </xf>
    <xf numFmtId="49" fontId="49" fillId="10" borderId="66" xfId="6" applyNumberFormat="1" applyFont="1" applyFill="1" applyBorder="1" applyAlignment="1">
      <alignment horizontal="center"/>
    </xf>
    <xf numFmtId="49" fontId="50" fillId="11" borderId="65" xfId="6" applyNumberFormat="1" applyFont="1" applyFill="1" applyBorder="1" applyAlignment="1">
      <alignment horizontal="center"/>
    </xf>
    <xf numFmtId="49" fontId="50" fillId="11" borderId="42" xfId="6" applyNumberFormat="1" applyFont="1" applyFill="1" applyBorder="1" applyAlignment="1">
      <alignment horizontal="center"/>
    </xf>
    <xf numFmtId="49" fontId="50" fillId="11" borderId="22" xfId="6" applyNumberFormat="1" applyFont="1" applyFill="1" applyBorder="1" applyAlignment="1">
      <alignment horizontal="center"/>
    </xf>
    <xf numFmtId="49" fontId="50" fillId="11" borderId="25" xfId="6" applyNumberFormat="1" applyFont="1" applyFill="1" applyBorder="1" applyAlignment="1">
      <alignment horizontal="center"/>
    </xf>
    <xf numFmtId="0" fontId="51" fillId="12" borderId="67" xfId="5" applyFont="1" applyFill="1" applyBorder="1"/>
    <xf numFmtId="49" fontId="50" fillId="11" borderId="60" xfId="6" applyNumberFormat="1" applyFont="1" applyFill="1" applyBorder="1" applyAlignment="1">
      <alignment horizontal="center"/>
    </xf>
    <xf numFmtId="0" fontId="1" fillId="12" borderId="69" xfId="5" applyFill="1" applyBorder="1"/>
    <xf numFmtId="0" fontId="51" fillId="12" borderId="69" xfId="5" applyFont="1" applyFill="1" applyBorder="1"/>
    <xf numFmtId="49" fontId="49" fillId="10" borderId="68" xfId="6" applyNumberFormat="1" applyFont="1" applyFill="1" applyBorder="1" applyAlignment="1">
      <alignment horizontal="center"/>
    </xf>
    <xf numFmtId="0" fontId="51" fillId="12" borderId="70" xfId="5" applyFont="1" applyFill="1" applyBorder="1"/>
    <xf numFmtId="0" fontId="1" fillId="12" borderId="70" xfId="5" applyFill="1" applyBorder="1"/>
    <xf numFmtId="0" fontId="1" fillId="6" borderId="68" xfId="5" applyFill="1" applyBorder="1" applyAlignment="1">
      <alignment horizontal="center"/>
    </xf>
    <xf numFmtId="0" fontId="42" fillId="12" borderId="70" xfId="5" applyFont="1" applyFill="1" applyBorder="1"/>
    <xf numFmtId="0" fontId="1" fillId="7" borderId="0" xfId="5" applyFill="1" applyAlignment="1">
      <alignment vertical="center"/>
    </xf>
    <xf numFmtId="49" fontId="49" fillId="10" borderId="71" xfId="6" applyNumberFormat="1" applyFont="1" applyFill="1" applyBorder="1" applyAlignment="1">
      <alignment horizontal="right"/>
    </xf>
    <xf numFmtId="49" fontId="49"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49" fillId="10" borderId="0" xfId="6" applyFont="1" applyFill="1" applyAlignment="1">
      <alignment horizontal="left"/>
    </xf>
    <xf numFmtId="0" fontId="1" fillId="0" borderId="0" xfId="5" applyAlignment="1">
      <alignment vertical="center"/>
    </xf>
    <xf numFmtId="49" fontId="50" fillId="11" borderId="73" xfId="6" applyNumberFormat="1" applyFont="1" applyFill="1" applyBorder="1" applyAlignment="1">
      <alignment horizontal="center"/>
    </xf>
    <xf numFmtId="0" fontId="43" fillId="0" borderId="9" xfId="5" applyFont="1" applyBorder="1" applyAlignment="1">
      <alignment horizontal="center" vertical="center"/>
    </xf>
    <xf numFmtId="0" fontId="47" fillId="0" borderId="27" xfId="5" applyFont="1" applyBorder="1" applyAlignment="1">
      <alignment horizontal="center" vertical="center" wrapText="1"/>
    </xf>
    <xf numFmtId="0" fontId="47" fillId="0" borderId="38" xfId="5" applyFont="1" applyBorder="1" applyAlignment="1">
      <alignment horizontal="center" vertical="center" wrapText="1"/>
    </xf>
    <xf numFmtId="0" fontId="43" fillId="0" borderId="38" xfId="5" applyFont="1" applyBorder="1" applyAlignment="1">
      <alignment horizontal="center" vertical="center"/>
    </xf>
    <xf numFmtId="49" fontId="52" fillId="10" borderId="7" xfId="6" applyNumberFormat="1" applyFont="1" applyFill="1" applyBorder="1" applyAlignment="1">
      <alignment horizontal="center" vertical="center"/>
    </xf>
    <xf numFmtId="0" fontId="43" fillId="0" borderId="15" xfId="5" applyFont="1" applyBorder="1" applyAlignment="1">
      <alignment horizontal="center" vertical="center"/>
    </xf>
    <xf numFmtId="0" fontId="44"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49" fontId="24" fillId="0" borderId="0" xfId="1" applyNumberFormat="1" applyFont="1" applyAlignment="1">
      <alignment horizontal="left"/>
    </xf>
    <xf numFmtId="0" fontId="25" fillId="0" borderId="3" xfId="1" applyFont="1" applyBorder="1"/>
    <xf numFmtId="168" fontId="24" fillId="0" borderId="4" xfId="1" applyNumberFormat="1" applyFont="1" applyBorder="1" applyAlignment="1">
      <alignment horizontal="right" indent="1"/>
    </xf>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25" fillId="6" borderId="0" xfId="1" applyFont="1" applyFill="1" applyAlignment="1">
      <alignment horizontal="center"/>
    </xf>
    <xf numFmtId="0" fontId="57" fillId="6" borderId="0" xfId="1" applyFont="1" applyFill="1" applyProtection="1">
      <protection locked="0"/>
    </xf>
    <xf numFmtId="0" fontId="57" fillId="2"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0" fontId="58" fillId="6" borderId="0" xfId="1" applyFont="1" applyFill="1" applyProtection="1">
      <protection locked="0"/>
    </xf>
    <xf numFmtId="49" fontId="49" fillId="13" borderId="66" xfId="6" applyNumberFormat="1" applyFont="1" applyFill="1" applyBorder="1" applyAlignment="1">
      <alignment horizontal="right"/>
    </xf>
    <xf numFmtId="49" fontId="49" fillId="13" borderId="68" xfId="6" applyNumberFormat="1" applyFont="1" applyFill="1" applyBorder="1" applyAlignment="1">
      <alignment horizontal="right"/>
    </xf>
    <xf numFmtId="0" fontId="1" fillId="13" borderId="68" xfId="5" applyFill="1" applyBorder="1" applyAlignment="1">
      <alignment horizontal="right"/>
    </xf>
    <xf numFmtId="0" fontId="59" fillId="2" borderId="0" xfId="1" applyFont="1" applyFill="1"/>
    <xf numFmtId="49" fontId="32" fillId="8" borderId="73" xfId="1" applyNumberFormat="1" applyFont="1" applyFill="1" applyBorder="1" applyAlignment="1" applyProtection="1">
      <alignment horizontal="center" vertical="center"/>
      <protection locked="0"/>
    </xf>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5" fillId="0" borderId="11" xfId="1" applyFont="1" applyBorder="1" applyAlignment="1">
      <alignment horizontal="center"/>
    </xf>
    <xf numFmtId="0" fontId="55"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0" fontId="24" fillId="6" borderId="0" xfId="1" applyFont="1" applyFill="1" applyAlignment="1">
      <alignment horizontal="left"/>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0" fontId="24" fillId="0" borderId="8" xfId="1" applyFont="1" applyBorder="1" applyAlignment="1">
      <alignment horizontal="left"/>
    </xf>
    <xf numFmtId="49" fontId="50" fillId="11" borderId="79" xfId="6" applyNumberFormat="1" applyFont="1" applyFill="1" applyBorder="1" applyAlignment="1">
      <alignment horizontal="center"/>
    </xf>
    <xf numFmtId="49" fontId="50" fillId="11" borderId="81" xfId="6" applyNumberFormat="1" applyFont="1" applyFill="1" applyBorder="1" applyAlignment="1">
      <alignment horizontal="center"/>
    </xf>
    <xf numFmtId="49" fontId="50" fillId="11" borderId="80" xfId="6" applyNumberFormat="1" applyFont="1" applyFill="1" applyBorder="1" applyAlignment="1">
      <alignment horizontal="center"/>
    </xf>
    <xf numFmtId="49" fontId="50" fillId="11" borderId="84" xfId="6" applyNumberFormat="1" applyFont="1" applyFill="1" applyBorder="1" applyAlignment="1">
      <alignment horizontal="center"/>
    </xf>
    <xf numFmtId="49" fontId="50" fillId="11" borderId="83" xfId="6" applyNumberFormat="1" applyFont="1" applyFill="1" applyBorder="1" applyAlignment="1">
      <alignment horizontal="center"/>
    </xf>
    <xf numFmtId="49" fontId="50" fillId="11" borderId="82" xfId="6" applyNumberFormat="1" applyFont="1" applyFill="1" applyBorder="1" applyAlignment="1">
      <alignment horizontal="center"/>
    </xf>
    <xf numFmtId="49" fontId="50" fillId="11" borderId="85" xfId="6" applyNumberFormat="1" applyFont="1" applyFill="1" applyBorder="1" applyAlignment="1">
      <alignment horizontal="center"/>
    </xf>
    <xf numFmtId="0" fontId="24" fillId="0" borderId="0" xfId="1" applyFont="1" applyAlignment="1">
      <alignment horizontal="center"/>
    </xf>
    <xf numFmtId="0" fontId="40" fillId="0" borderId="0" xfId="4" applyFont="1" applyAlignment="1">
      <alignment horizontal="center"/>
    </xf>
    <xf numFmtId="0" fontId="3" fillId="0" borderId="0" xfId="4" applyAlignment="1">
      <alignment horizontal="center"/>
    </xf>
    <xf numFmtId="0" fontId="2" fillId="0" borderId="0" xfId="4" applyFont="1"/>
    <xf numFmtId="0" fontId="2" fillId="0" borderId="0" xfId="4" applyFont="1" applyAlignment="1">
      <alignment horizontal="left"/>
    </xf>
    <xf numFmtId="0" fontId="60" fillId="0" borderId="0" xfId="4" applyFont="1" applyAlignment="1">
      <alignment horizontal="left"/>
    </xf>
    <xf numFmtId="2" fontId="24" fillId="0" borderId="14" xfId="1" applyNumberFormat="1" applyFont="1" applyBorder="1"/>
    <xf numFmtId="2" fontId="24" fillId="14" borderId="14" xfId="1" applyNumberFormat="1" applyFont="1" applyFill="1" applyBorder="1"/>
    <xf numFmtId="2" fontId="24" fillId="14" borderId="0" xfId="1" applyNumberFormat="1" applyFont="1" applyFill="1"/>
    <xf numFmtId="0" fontId="61" fillId="6" borderId="0" xfId="1" applyFont="1" applyFill="1" applyAlignment="1" applyProtection="1">
      <alignment horizontal="left" vertical="center"/>
      <protection locked="0"/>
    </xf>
    <xf numFmtId="49" fontId="49" fillId="13" borderId="86" xfId="6" applyNumberFormat="1" applyFont="1" applyFill="1" applyBorder="1" applyAlignment="1">
      <alignment horizontal="right"/>
    </xf>
    <xf numFmtId="49" fontId="49" fillId="10" borderId="86" xfId="6" applyNumberFormat="1" applyFont="1" applyFill="1" applyBorder="1" applyAlignment="1">
      <alignment horizontal="center"/>
    </xf>
    <xf numFmtId="0" fontId="1" fillId="12" borderId="87" xfId="5" applyFill="1" applyBorder="1"/>
    <xf numFmtId="2" fontId="2" fillId="0" borderId="0" xfId="4" applyNumberFormat="1" applyFont="1"/>
    <xf numFmtId="0" fontId="62" fillId="0" borderId="0" xfId="4" applyFont="1"/>
    <xf numFmtId="2" fontId="3" fillId="0" borderId="0" xfId="4" applyNumberFormat="1"/>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49" fontId="10" fillId="3" borderId="0" xfId="1" applyNumberFormat="1" applyFont="1" applyFill="1" applyAlignment="1">
      <alignment horizontal="center"/>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3" fillId="0" borderId="9" xfId="5" applyFont="1" applyBorder="1" applyAlignment="1">
      <alignment horizontal="center"/>
    </xf>
    <xf numFmtId="0" fontId="43" fillId="0" borderId="11" xfId="5" applyFont="1" applyBorder="1" applyAlignment="1">
      <alignment horizontal="center"/>
    </xf>
    <xf numFmtId="0" fontId="43" fillId="0" borderId="10" xfId="5" applyFont="1" applyBorder="1" applyAlignment="1">
      <alignment horizontal="center"/>
    </xf>
    <xf numFmtId="0" fontId="44" fillId="0" borderId="11" xfId="5" applyFont="1" applyBorder="1" applyAlignment="1">
      <alignment horizontal="center" vertical="center"/>
    </xf>
    <xf numFmtId="0" fontId="43" fillId="0" borderId="6" xfId="5" applyFont="1" applyBorder="1" applyAlignment="1">
      <alignment horizontal="left"/>
    </xf>
    <xf numFmtId="0" fontId="43" fillId="0" borderId="2" xfId="5" applyFont="1" applyBorder="1" applyAlignment="1">
      <alignment horizontal="left"/>
    </xf>
    <xf numFmtId="0" fontId="43" fillId="0" borderId="3" xfId="5" applyFont="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49" fontId="24" fillId="8" borderId="2"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49" fontId="24" fillId="8" borderId="1"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9" xfId="1" applyNumberFormat="1" applyFont="1" applyBorder="1" applyAlignment="1">
      <alignment horizontal="center"/>
    </xf>
    <xf numFmtId="165" fontId="26" fillId="0" borderId="24"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0" fontId="26" fillId="4" borderId="10" xfId="1" applyFont="1" applyFill="1" applyBorder="1" applyAlignment="1">
      <alignment horizontal="left" vertic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10" fillId="0" borderId="2" xfId="0" applyFont="1" applyBorder="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165" fontId="10" fillId="0" borderId="5" xfId="0" applyNumberFormat="1" applyFont="1" applyBorder="1" applyAlignment="1">
      <alignment horizontal="center"/>
    </xf>
    <xf numFmtId="0" fontId="10" fillId="0" borderId="5" xfId="0" applyFont="1" applyBorder="1" applyAlignment="1">
      <alignment horizontal="center"/>
    </xf>
    <xf numFmtId="49" fontId="32" fillId="8" borderId="2" xfId="1" applyNumberFormat="1" applyFont="1" applyFill="1" applyBorder="1" applyAlignment="1" applyProtection="1">
      <alignment horizontal="center" vertical="center"/>
      <protection locked="0"/>
    </xf>
    <xf numFmtId="49" fontId="32" fillId="8" borderId="0" xfId="1" applyNumberFormat="1" applyFont="1" applyFill="1" applyAlignment="1" applyProtection="1">
      <alignment horizontal="center" vertical="center"/>
      <protection locked="0"/>
    </xf>
    <xf numFmtId="49" fontId="32" fillId="8" borderId="3" xfId="1" applyNumberFormat="1" applyFont="1" applyFill="1" applyBorder="1" applyAlignment="1" applyProtection="1">
      <alignment horizontal="center" vertical="center"/>
      <protection locked="0"/>
    </xf>
    <xf numFmtId="49" fontId="32" fillId="8" borderId="12" xfId="1" applyNumberFormat="1" applyFont="1" applyFill="1" applyBorder="1" applyAlignment="1" applyProtection="1">
      <alignment horizontal="center" vertical="center"/>
      <protection locked="0"/>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49" fontId="10" fillId="8" borderId="2" xfId="1" applyNumberFormat="1" applyFont="1" applyFill="1" applyBorder="1" applyAlignment="1" applyProtection="1">
      <alignment horizontal="center"/>
      <protection locked="0"/>
    </xf>
    <xf numFmtId="49" fontId="10" fillId="8" borderId="0" xfId="1" applyNumberFormat="1" applyFont="1" applyFill="1" applyAlignment="1" applyProtection="1">
      <alignment horizontal="center"/>
      <protection locked="0"/>
    </xf>
    <xf numFmtId="49" fontId="10" fillId="8" borderId="5" xfId="1" applyNumberFormat="1" applyFont="1" applyFill="1" applyBorder="1" applyAlignment="1" applyProtection="1">
      <alignment horizontal="center"/>
      <protection locked="0"/>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49" fontId="11" fillId="8" borderId="2" xfId="1" applyNumberFormat="1" applyFont="1" applyFill="1" applyBorder="1" applyAlignment="1" applyProtection="1">
      <alignment horizontal="center"/>
      <protection locked="0"/>
    </xf>
    <xf numFmtId="49" fontId="11" fillId="8" borderId="0" xfId="1" applyNumberFormat="1" applyFont="1" applyFill="1" applyAlignment="1" applyProtection="1">
      <alignment horizontal="center"/>
      <protection locked="0"/>
    </xf>
    <xf numFmtId="49" fontId="11" fillId="8" borderId="5" xfId="1" applyNumberFormat="1" applyFont="1" applyFill="1" applyBorder="1" applyAlignment="1" applyProtection="1">
      <alignment horizontal="center"/>
      <protection locked="0"/>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0" fillId="8" borderId="3" xfId="1" applyFont="1" applyFill="1" applyBorder="1" applyAlignment="1" applyProtection="1">
      <alignment horizontal="center"/>
      <protection locked="0"/>
    </xf>
    <xf numFmtId="0" fontId="10" fillId="8" borderId="12" xfId="1" applyFont="1" applyFill="1" applyBorder="1" applyAlignment="1" applyProtection="1">
      <alignment horizontal="center"/>
      <protection locked="0"/>
    </xf>
    <xf numFmtId="0" fontId="10" fillId="8" borderId="4" xfId="1" applyFont="1" applyFill="1" applyBorder="1" applyAlignment="1" applyProtection="1">
      <alignment horizontal="center"/>
      <protection locked="0"/>
    </xf>
    <xf numFmtId="0" fontId="11" fillId="0" borderId="3" xfId="1" applyFont="1" applyBorder="1" applyAlignment="1">
      <alignment horizontal="center"/>
    </xf>
    <xf numFmtId="0" fontId="11" fillId="0" borderId="12" xfId="1" applyFont="1" applyBorder="1" applyAlignment="1">
      <alignment horizontal="center"/>
    </xf>
    <xf numFmtId="49" fontId="24" fillId="8" borderId="3" xfId="1" applyNumberFormat="1" applyFont="1" applyFill="1" applyBorder="1" applyAlignment="1" applyProtection="1">
      <alignment horizontal="center"/>
      <protection locked="0"/>
    </xf>
    <xf numFmtId="49" fontId="24" fillId="8" borderId="12" xfId="1" applyNumberFormat="1" applyFont="1" applyFill="1" applyBorder="1" applyAlignment="1" applyProtection="1">
      <alignment horizontal="center"/>
      <protection locked="0"/>
    </xf>
    <xf numFmtId="49" fontId="24" fillId="8" borderId="4" xfId="1" applyNumberFormat="1" applyFont="1" applyFill="1" applyBorder="1" applyAlignment="1" applyProtection="1">
      <alignment horizontal="center"/>
      <protection locked="0"/>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55" fillId="0" borderId="9" xfId="1" applyFont="1" applyBorder="1" applyAlignment="1">
      <alignment horizontal="center"/>
    </xf>
    <xf numFmtId="0" fontId="55"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0" fillId="0" borderId="24"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49" fontId="24" fillId="8" borderId="2" xfId="1" applyNumberFormat="1" applyFont="1" applyFill="1" applyBorder="1" applyAlignment="1" applyProtection="1">
      <alignment horizontal="center"/>
      <protection locked="0"/>
    </xf>
    <xf numFmtId="49" fontId="24" fillId="8" borderId="0" xfId="1" applyNumberFormat="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10" xfId="0" applyNumberFormat="1" applyFont="1" applyBorder="1" applyAlignment="1">
      <alignment horizontal="center"/>
    </xf>
    <xf numFmtId="1" fontId="24" fillId="8" borderId="3" xfId="1" applyNumberFormat="1" applyFont="1" applyFill="1" applyBorder="1" applyAlignment="1">
      <alignment horizontal="center"/>
    </xf>
    <xf numFmtId="1" fontId="24" fillId="8" borderId="12" xfId="1" applyNumberFormat="1" applyFont="1" applyFill="1" applyBorder="1" applyAlignment="1">
      <alignment horizontal="center"/>
    </xf>
    <xf numFmtId="1" fontId="24" fillId="8" borderId="13" xfId="1" applyNumberFormat="1" applyFont="1" applyFill="1" applyBorder="1" applyAlignment="1">
      <alignment horizontal="center"/>
    </xf>
    <xf numFmtId="2" fontId="24" fillId="8" borderId="16"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2" fontId="24" fillId="8" borderId="4"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2" fontId="24" fillId="8" borderId="3" xfId="1" applyNumberFormat="1" applyFont="1" applyFill="1" applyBorder="1" applyAlignment="1">
      <alignment horizontal="center"/>
    </xf>
    <xf numFmtId="49" fontId="24" fillId="0" borderId="2" xfId="1" applyNumberFormat="1" applyFont="1" applyBorder="1" applyAlignment="1">
      <alignment horizontal="center"/>
    </xf>
    <xf numFmtId="49" fontId="24" fillId="0" borderId="0" xfId="1" applyNumberFormat="1" applyFont="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49" fontId="24" fillId="0" borderId="5" xfId="1" applyNumberFormat="1" applyFont="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165" fontId="11" fillId="0" borderId="24" xfId="0" applyNumberFormat="1" applyFont="1" applyBorder="1" applyAlignment="1">
      <alignment horizontal="center"/>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0" fontId="19" fillId="0" borderId="7" xfId="1" applyFont="1" applyBorder="1" applyAlignment="1">
      <alignment horizontal="center" vertical="center"/>
    </xf>
    <xf numFmtId="0" fontId="19" fillId="0" borderId="2" xfId="1" applyFont="1" applyBorder="1" applyAlignment="1">
      <alignment horizontal="center" vertical="center"/>
    </xf>
    <xf numFmtId="0" fontId="19" fillId="0" borderId="0" xfId="1" applyFont="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0" fontId="10" fillId="0" borderId="8" xfId="0"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49" fontId="10" fillId="8" borderId="2" xfId="0" applyNumberFormat="1" applyFont="1" applyFill="1" applyBorder="1" applyAlignment="1">
      <alignment horizontal="center"/>
    </xf>
    <xf numFmtId="49" fontId="10" fillId="8" borderId="1" xfId="0" applyNumberFormat="1" applyFont="1" applyFill="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0" fillId="8" borderId="3" xfId="0" applyFont="1" applyFill="1" applyBorder="1" applyAlignment="1">
      <alignment horizontal="center"/>
    </xf>
    <xf numFmtId="0" fontId="10" fillId="8" borderId="13" xfId="0" applyFont="1" applyFill="1" applyBorder="1" applyAlignment="1">
      <alignment horizont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49" fontId="10" fillId="3" borderId="0" xfId="0" applyNumberFormat="1" applyFont="1" applyFill="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49" fontId="10" fillId="3" borderId="13" xfId="0" applyNumberFormat="1" applyFont="1" applyFill="1" applyBorder="1" applyAlignment="1">
      <alignment horizontal="center"/>
    </xf>
    <xf numFmtId="49" fontId="10" fillId="3" borderId="1" xfId="0" applyNumberFormat="1" applyFont="1" applyFill="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40" fillId="0" borderId="0" xfId="4" applyFont="1" applyAlignment="1">
      <alignment horizontal="center"/>
    </xf>
    <xf numFmtId="0" fontId="3" fillId="0" borderId="0" xfId="4"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1088">
    <dxf>
      <fill>
        <patternFill>
          <bgColor rgb="FFFF9700"/>
        </patternFill>
      </fill>
    </dxf>
    <dxf>
      <fill>
        <patternFill>
          <bgColor rgb="FFFF9700"/>
        </patternFill>
      </fill>
    </dxf>
    <dxf>
      <fill>
        <patternFill>
          <bgColor rgb="FFFF970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398023" y="862924"/>
          <a:ext cx="1383612"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63%</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F21" sqref="F21"/>
    </sheetView>
  </sheetViews>
  <sheetFormatPr defaultColWidth="9.109375" defaultRowHeight="13.8"/>
  <cols>
    <col min="1" max="1" width="9.109375" style="20" customWidth="1"/>
    <col min="2" max="2" width="24.109375" style="20" customWidth="1"/>
    <col min="3" max="4" width="9.109375" style="20"/>
    <col min="5" max="7" width="24.44140625" style="20" customWidth="1"/>
    <col min="8" max="8" width="24.5546875" style="20" hidden="1" customWidth="1"/>
    <col min="9" max="10" width="9.109375" style="20"/>
    <col min="11" max="11" width="15.88671875" style="20" customWidth="1"/>
    <col min="12" max="14" width="9.109375" style="20"/>
    <col min="15" max="17" width="8.5546875" customWidth="1"/>
    <col min="18" max="23" width="9.109375" style="20"/>
    <col min="24" max="24" width="0" style="20" hidden="1" customWidth="1"/>
    <col min="25" max="16384" width="9.109375" style="20"/>
  </cols>
  <sheetData>
    <row r="1" spans="1:24" ht="14.4" thickBot="1"/>
    <row r="2" spans="1:24" ht="23.25" customHeight="1" thickBot="1">
      <c r="A2" s="55">
        <v>3</v>
      </c>
      <c r="B2" s="400" t="s">
        <v>17</v>
      </c>
      <c r="C2" s="401"/>
      <c r="D2" s="401"/>
      <c r="E2" s="402"/>
      <c r="F2" s="75" t="s">
        <v>18</v>
      </c>
      <c r="G2" s="366">
        <v>2023</v>
      </c>
      <c r="X2" s="20" t="s">
        <v>41</v>
      </c>
    </row>
    <row r="3" spans="1:24" ht="13.5" customHeight="1">
      <c r="B3" s="57" t="s">
        <v>19</v>
      </c>
      <c r="C3" s="403" t="s">
        <v>782</v>
      </c>
      <c r="D3" s="403"/>
      <c r="E3" s="404"/>
      <c r="F3" s="24" t="s">
        <v>166</v>
      </c>
      <c r="G3" s="56"/>
      <c r="X3" s="20" t="s">
        <v>42</v>
      </c>
    </row>
    <row r="4" spans="1:24" ht="13.5" customHeight="1">
      <c r="B4" s="21" t="s">
        <v>49</v>
      </c>
      <c r="C4" s="396" t="s">
        <v>783</v>
      </c>
      <c r="D4" s="396"/>
      <c r="E4" s="397"/>
      <c r="F4" s="24" t="s">
        <v>79</v>
      </c>
      <c r="G4" s="56"/>
      <c r="X4" s="20" t="s">
        <v>43</v>
      </c>
    </row>
    <row r="5" spans="1:24" ht="13.5" customHeight="1">
      <c r="B5" s="21" t="s">
        <v>216</v>
      </c>
      <c r="C5" s="157" t="s">
        <v>784</v>
      </c>
      <c r="D5" s="157"/>
      <c r="E5" s="56"/>
      <c r="F5" s="24" t="s">
        <v>100</v>
      </c>
      <c r="G5" s="56"/>
    </row>
    <row r="6" spans="1:24" ht="13.5" customHeight="1">
      <c r="B6" s="21" t="s">
        <v>217</v>
      </c>
      <c r="C6" s="157" t="s">
        <v>785</v>
      </c>
      <c r="D6" s="157"/>
      <c r="E6" s="56"/>
      <c r="F6" s="24" t="s">
        <v>83</v>
      </c>
      <c r="G6" s="56"/>
    </row>
    <row r="7" spans="1:24" ht="13.5" customHeight="1">
      <c r="B7" s="21" t="s">
        <v>213</v>
      </c>
      <c r="C7" s="157" t="s">
        <v>786</v>
      </c>
      <c r="D7" s="157"/>
      <c r="E7" s="56"/>
      <c r="F7" s="24" t="s">
        <v>52</v>
      </c>
      <c r="G7" s="56"/>
      <c r="X7" s="20" t="s">
        <v>44</v>
      </c>
    </row>
    <row r="8" spans="1:24" ht="13.5" customHeight="1">
      <c r="B8" s="21" t="s">
        <v>214</v>
      </c>
      <c r="C8" s="396" t="s">
        <v>787</v>
      </c>
      <c r="D8" s="396"/>
      <c r="E8" s="397"/>
      <c r="F8" s="24" t="s">
        <v>176</v>
      </c>
      <c r="G8" s="56"/>
    </row>
    <row r="9" spans="1:24" ht="13.5" customHeight="1">
      <c r="B9" s="25" t="s">
        <v>21</v>
      </c>
      <c r="C9" s="405">
        <v>2015</v>
      </c>
      <c r="D9" s="405"/>
      <c r="E9" s="406"/>
      <c r="F9" s="24"/>
      <c r="G9" s="102"/>
    </row>
    <row r="10" spans="1:24" ht="13.5" customHeight="1">
      <c r="B10" s="25" t="s">
        <v>215</v>
      </c>
      <c r="C10" s="405">
        <v>3500</v>
      </c>
      <c r="D10" s="405"/>
      <c r="E10" s="406"/>
      <c r="F10" s="24"/>
      <c r="G10" s="102"/>
      <c r="X10" s="20" t="s">
        <v>45</v>
      </c>
    </row>
    <row r="11" spans="1:24" ht="13.5" customHeight="1">
      <c r="B11" s="25" t="s">
        <v>218</v>
      </c>
      <c r="C11" s="158">
        <v>1485</v>
      </c>
      <c r="D11" s="158"/>
      <c r="E11" s="159"/>
      <c r="F11" s="24"/>
      <c r="G11" s="102"/>
    </row>
    <row r="12" spans="1:24" ht="13.5" customHeight="1">
      <c r="B12" s="25" t="s">
        <v>204</v>
      </c>
      <c r="C12" s="405">
        <v>2757</v>
      </c>
      <c r="D12" s="405"/>
      <c r="E12" s="406"/>
      <c r="F12" s="24"/>
      <c r="G12" s="102"/>
      <c r="X12" s="20" t="s">
        <v>46</v>
      </c>
    </row>
    <row r="13" spans="1:24" ht="13.5" customHeight="1">
      <c r="B13" s="21" t="s">
        <v>16</v>
      </c>
      <c r="C13" s="396" t="s">
        <v>788</v>
      </c>
      <c r="D13" s="396"/>
      <c r="E13" s="397"/>
      <c r="F13" s="24"/>
      <c r="G13" s="102"/>
    </row>
    <row r="14" spans="1:24" ht="13.5" customHeight="1">
      <c r="B14" s="21" t="s">
        <v>20</v>
      </c>
      <c r="C14" s="396"/>
      <c r="D14" s="396"/>
      <c r="E14" s="397"/>
      <c r="G14" s="102"/>
    </row>
    <row r="15" spans="1:24" ht="13.5" customHeight="1">
      <c r="B15" s="21" t="s">
        <v>78</v>
      </c>
      <c r="C15" s="396" t="s">
        <v>789</v>
      </c>
      <c r="D15" s="396"/>
      <c r="E15" s="397"/>
      <c r="G15" s="102"/>
    </row>
    <row r="16" spans="1:24" ht="13.5" customHeight="1">
      <c r="B16" s="21" t="s">
        <v>8</v>
      </c>
      <c r="C16" s="396" t="s">
        <v>790</v>
      </c>
      <c r="D16" s="396"/>
      <c r="E16" s="397"/>
      <c r="G16" s="102"/>
    </row>
    <row r="17" spans="2:12" ht="13.5" customHeight="1">
      <c r="B17" s="21" t="s">
        <v>219</v>
      </c>
      <c r="C17" s="396" t="s">
        <v>791</v>
      </c>
      <c r="D17" s="396"/>
      <c r="E17" s="397"/>
      <c r="G17" s="102"/>
      <c r="K17"/>
      <c r="L17"/>
    </row>
    <row r="18" spans="2:12" ht="13.5" customHeight="1">
      <c r="B18" s="21" t="s">
        <v>14</v>
      </c>
      <c r="C18" s="396" t="s">
        <v>792</v>
      </c>
      <c r="D18" s="396"/>
      <c r="E18" s="397"/>
      <c r="G18" s="102"/>
      <c r="J18" s="91"/>
      <c r="K18" s="92"/>
    </row>
    <row r="19" spans="2:12" ht="13.5" customHeight="1">
      <c r="B19" s="21" t="s">
        <v>48</v>
      </c>
      <c r="C19" s="407"/>
      <c r="D19" s="407"/>
      <c r="E19" s="408"/>
      <c r="F19" s="24"/>
      <c r="G19" s="103"/>
      <c r="J19" s="93"/>
      <c r="L19" s="90"/>
    </row>
    <row r="20" spans="2:12" ht="13.5" customHeight="1">
      <c r="B20" s="60" t="s">
        <v>75</v>
      </c>
      <c r="C20" s="399">
        <v>2</v>
      </c>
      <c r="D20" s="399"/>
      <c r="E20" s="101"/>
      <c r="G20" s="103"/>
    </row>
    <row r="21" spans="2:12" ht="13.5" customHeight="1">
      <c r="B21" s="60" t="s">
        <v>76</v>
      </c>
      <c r="C21" s="398" t="s">
        <v>793</v>
      </c>
      <c r="D21" s="398"/>
      <c r="E21" s="44"/>
      <c r="G21" s="103"/>
    </row>
    <row r="22" spans="2:12" ht="13.5" customHeight="1">
      <c r="B22" s="60" t="s">
        <v>77</v>
      </c>
      <c r="C22" s="398" t="s">
        <v>793</v>
      </c>
      <c r="D22" s="398"/>
      <c r="E22" s="44"/>
      <c r="G22" s="103"/>
    </row>
    <row r="23" spans="2:12" ht="13.5" customHeight="1">
      <c r="B23" s="60"/>
      <c r="C23" s="237"/>
      <c r="D23" s="237"/>
      <c r="E23" s="44"/>
      <c r="G23" s="103"/>
    </row>
    <row r="24" spans="2:12" ht="13.5" customHeight="1">
      <c r="B24" s="367" t="s">
        <v>734</v>
      </c>
      <c r="C24" s="237" t="s">
        <v>778</v>
      </c>
      <c r="D24" s="237"/>
      <c r="E24" s="44"/>
      <c r="G24" s="103"/>
    </row>
    <row r="25" spans="2:12" ht="14.4" thickBot="1">
      <c r="B25" s="22"/>
      <c r="C25" s="394"/>
      <c r="D25" s="394"/>
      <c r="E25" s="395"/>
      <c r="F25" s="100"/>
      <c r="G25" s="104"/>
    </row>
    <row r="26" spans="2:12" ht="18">
      <c r="C26" s="23"/>
      <c r="G26" s="24"/>
    </row>
  </sheetData>
  <mergeCells count="18">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s>
  <phoneticPr fontId="0" type="noConversion"/>
  <dataValidations count="9">
    <dataValidation type="list" allowBlank="1" showInputMessage="1" showErrorMessage="1" sqref="C18" xr:uid="{9DF85159-CD38-498E-83E7-49FD33A8C033}">
      <formula1>"LHD,RHD"</formula1>
    </dataValidation>
    <dataValidation type="whole" allowBlank="1" showInputMessage="1" showErrorMessage="1" errorTitle="Outside valid range" error="Value only (no 'kg') between 500 and 3500" promptTitle="Input Number Only" prompt="Do not put 'kg' after the number" sqref="C9:C12" xr:uid="{1FF3E4DF-FA02-48C2-9D51-61B6441DB0CF}">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393E24DF-9EC6-4072-941E-9BA657E3F5F1}">
      <formula1>"2,3"</formula1>
    </dataValidation>
    <dataValidation type="list" allowBlank="1" showInputMessage="1" showErrorMessage="1" sqref="D22:D24 C22:C23" xr:uid="{00000000-0002-0000-0000-000008000000}">
      <formula1>"0,2,3"</formula1>
    </dataValidation>
    <dataValidation type="list" showInputMessage="1" showErrorMessage="1" sqref="C21:D21" xr:uid="{9EBCE719-FC69-44C9-B367-BA96BF3FF181}">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 allowBlank="1" showInputMessage="1" showErrorMessage="1" errorTitle="Outside valid range" error="Value only (no 'kg') between 500 and 3500" promptTitle="Input Number Only" prompt="Do not put 'kg' after the number" sqref="C7" xr:uid="{A58EFFDF-0902-4BE8-BE43-BC7187D806B1}"/>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zoomScale="85" zoomScaleNormal="85" workbookViewId="0">
      <selection activeCell="B2" sqref="B2"/>
    </sheetView>
  </sheetViews>
  <sheetFormatPr defaultColWidth="9.109375" defaultRowHeight="13.2"/>
  <cols>
    <col min="1" max="1" width="8.88671875" style="126" customWidth="1"/>
    <col min="2" max="2" width="18" style="126" customWidth="1"/>
    <col min="3" max="3" width="25.5546875" style="126" customWidth="1"/>
    <col min="4" max="5" width="13.109375" style="126" customWidth="1"/>
    <col min="6" max="6" width="25.5546875" style="126" customWidth="1"/>
    <col min="7" max="8" width="13.109375" style="126" customWidth="1"/>
    <col min="9" max="9" width="13.88671875" style="126" customWidth="1"/>
    <col min="10" max="10" width="13.88671875" style="131" customWidth="1"/>
    <col min="11" max="16384" width="9.109375" style="126"/>
  </cols>
  <sheetData>
    <row r="2" spans="2:17" ht="32.25" customHeight="1">
      <c r="C2" s="413" t="str">
        <f>CONCATENATE('General Overview'!C3:E3," ",'General Overview'!C4)</f>
        <v>FIAT Ducato</v>
      </c>
      <c r="D2" s="413"/>
      <c r="E2" s="413"/>
      <c r="F2" s="387" t="str">
        <f>IF(F14&gt;=60,"GOLD",IF(F14&gt;=40,"SILVER",IF(F14&gt;=20,"BRONZE","NOT RECOMMENDED")))</f>
        <v>GOLD</v>
      </c>
      <c r="G2" s="127"/>
      <c r="J2" s="126"/>
    </row>
    <row r="3" spans="2:17" ht="15" customHeight="1">
      <c r="C3" s="128"/>
      <c r="D3" s="128"/>
      <c r="E3" s="129"/>
      <c r="F3" s="129"/>
      <c r="G3" s="129"/>
      <c r="J3" s="126"/>
    </row>
    <row r="4" spans="2:17" ht="90" customHeight="1">
      <c r="B4" s="130"/>
      <c r="C4" s="414" t="s">
        <v>167</v>
      </c>
      <c r="D4" s="415"/>
      <c r="E4" s="416"/>
      <c r="F4" s="417" t="s">
        <v>168</v>
      </c>
      <c r="G4" s="415"/>
      <c r="H4" s="418"/>
      <c r="I4" s="131"/>
      <c r="K4" s="131"/>
      <c r="L4" s="131"/>
      <c r="M4" s="131"/>
      <c r="N4" s="131"/>
      <c r="O4" s="131"/>
      <c r="P4" s="131"/>
      <c r="Q4" s="131"/>
    </row>
    <row r="5" spans="2:17" ht="22.5" customHeight="1" thickBot="1">
      <c r="C5" s="419">
        <f>ROUND(C12,1)</f>
        <v>0</v>
      </c>
      <c r="D5" s="419"/>
      <c r="E5" s="419"/>
      <c r="F5" s="419">
        <f>ROUND(F12,1)</f>
        <v>63.5</v>
      </c>
      <c r="G5" s="419"/>
      <c r="H5" s="419"/>
      <c r="I5" s="297"/>
      <c r="K5" s="131"/>
      <c r="L5" s="131"/>
      <c r="M5" s="131"/>
      <c r="N5" s="131"/>
      <c r="O5" s="131"/>
      <c r="P5" s="131"/>
      <c r="Q5" s="131"/>
    </row>
    <row r="6" spans="2:17" ht="22.5" customHeight="1">
      <c r="B6" s="132">
        <v>30</v>
      </c>
      <c r="C6" s="133" t="s">
        <v>166</v>
      </c>
      <c r="D6" s="134" t="s">
        <v>211</v>
      </c>
      <c r="E6" s="135" t="str">
        <f>'N1 Fitment'!N35</f>
        <v>Opt</v>
      </c>
      <c r="F6" s="133" t="s">
        <v>166</v>
      </c>
      <c r="G6" s="368">
        <f>'AEB Car-to-Car'!D112/6*B6</f>
        <v>15.474999999999998</v>
      </c>
      <c r="H6" s="136" t="str">
        <f t="shared" ref="H6:H11" si="0">CONCATENATE("out of ",B6)</f>
        <v>out of 30</v>
      </c>
      <c r="I6" s="263"/>
      <c r="J6" s="263"/>
      <c r="K6" s="263"/>
      <c r="L6" s="131"/>
      <c r="M6" s="131"/>
      <c r="N6" s="131"/>
      <c r="O6" s="131"/>
      <c r="P6" s="131"/>
      <c r="Q6" s="131"/>
    </row>
    <row r="7" spans="2:17" ht="22.5" customHeight="1">
      <c r="B7" s="137">
        <v>10</v>
      </c>
      <c r="C7" s="138" t="s">
        <v>69</v>
      </c>
      <c r="D7" s="139" t="s">
        <v>211</v>
      </c>
      <c r="E7" s="140" t="str">
        <f>'N1 Fitment'!O35</f>
        <v>Opt</v>
      </c>
      <c r="F7" s="138" t="s">
        <v>69</v>
      </c>
      <c r="G7" s="369">
        <f>'AEB Pedestrian'!D126/9*B7</f>
        <v>3.0488888888888894</v>
      </c>
      <c r="H7" s="142" t="str">
        <f t="shared" si="0"/>
        <v>out of 10</v>
      </c>
      <c r="I7" s="263"/>
      <c r="J7" s="263"/>
      <c r="K7" s="263"/>
      <c r="L7" s="131"/>
      <c r="M7" s="131"/>
      <c r="N7" s="131"/>
      <c r="O7" s="131"/>
      <c r="P7" s="131"/>
      <c r="Q7" s="131"/>
    </row>
    <row r="8" spans="2:17" ht="22.5" customHeight="1">
      <c r="B8" s="137">
        <v>10</v>
      </c>
      <c r="C8" s="138" t="s">
        <v>128</v>
      </c>
      <c r="D8" s="139" t="s">
        <v>211</v>
      </c>
      <c r="E8" s="140" t="str">
        <f>'N1 Fitment'!P35</f>
        <v>Opt</v>
      </c>
      <c r="F8" s="138" t="s">
        <v>128</v>
      </c>
      <c r="G8" s="369">
        <f>'AEB Cyclist'!D86/9*B8</f>
        <v>5</v>
      </c>
      <c r="H8" s="142" t="str">
        <f t="shared" si="0"/>
        <v>out of 10</v>
      </c>
      <c r="I8" s="263"/>
      <c r="J8" s="263"/>
      <c r="K8" s="263"/>
      <c r="L8" s="131"/>
      <c r="M8" s="131"/>
      <c r="N8" s="131"/>
      <c r="O8" s="131"/>
      <c r="P8" s="131"/>
      <c r="Q8" s="131"/>
    </row>
    <row r="9" spans="2:17" ht="22.5" customHeight="1">
      <c r="B9" s="137">
        <v>20</v>
      </c>
      <c r="C9" s="138" t="s">
        <v>82</v>
      </c>
      <c r="D9" s="139" t="s">
        <v>211</v>
      </c>
      <c r="E9" s="140" t="str">
        <f>'N1 Fitment'!AD35</f>
        <v>Opt</v>
      </c>
      <c r="F9" s="138" t="s">
        <v>82</v>
      </c>
      <c r="G9" s="141">
        <f>LSS!D72/4*B9</f>
        <v>13.75</v>
      </c>
      <c r="H9" s="142" t="str">
        <f t="shared" si="0"/>
        <v>out of 20</v>
      </c>
      <c r="I9" s="263"/>
      <c r="J9" s="264"/>
      <c r="K9" s="264"/>
    </row>
    <row r="10" spans="2:17" ht="22.5" customHeight="1">
      <c r="B10" s="137">
        <v>15</v>
      </c>
      <c r="C10" s="138" t="s">
        <v>1</v>
      </c>
      <c r="D10" s="139" t="s">
        <v>211</v>
      </c>
      <c r="E10" s="140" t="str">
        <f>'N1 Fitment'!AF35</f>
        <v>Opt</v>
      </c>
      <c r="F10" s="138" t="s">
        <v>1</v>
      </c>
      <c r="G10" s="369">
        <f>IF('General Overview'!C24="2020",'SAS 2020'!D49/3*B10,'SAS 2023'!D72/3*B10)</f>
        <v>11.25</v>
      </c>
      <c r="H10" s="142" t="str">
        <f t="shared" si="0"/>
        <v>out of 15</v>
      </c>
      <c r="I10" s="263"/>
      <c r="J10" s="264"/>
      <c r="K10" s="264"/>
    </row>
    <row r="11" spans="2:17" ht="22.5" customHeight="1" thickBot="1">
      <c r="B11" s="143">
        <v>15</v>
      </c>
      <c r="C11" s="144" t="s">
        <v>169</v>
      </c>
      <c r="D11" s="145" t="s">
        <v>211</v>
      </c>
      <c r="E11" s="146" t="str">
        <f>'N1 Fitment'!AE35</f>
        <v>Std</v>
      </c>
      <c r="F11" s="144" t="s">
        <v>169</v>
      </c>
      <c r="G11" s="169">
        <f>OSM!D20/3*B11</f>
        <v>15</v>
      </c>
      <c r="H11" s="147" t="str">
        <f t="shared" si="0"/>
        <v>out of 15</v>
      </c>
      <c r="I11" s="263"/>
      <c r="J11" s="264"/>
      <c r="K11" s="264"/>
    </row>
    <row r="12" spans="2:17" ht="22.5" customHeight="1" thickBot="1">
      <c r="B12" s="148" t="s">
        <v>3</v>
      </c>
      <c r="C12" s="409"/>
      <c r="D12" s="410"/>
      <c r="E12" s="411"/>
      <c r="F12" s="409">
        <f>SUM(G6:G11)</f>
        <v>63.523888888888891</v>
      </c>
      <c r="G12" s="410"/>
      <c r="H12" s="412"/>
      <c r="J12" s="126"/>
    </row>
    <row r="13" spans="2:17" ht="22.5" customHeight="1">
      <c r="B13" s="149" t="s">
        <v>0</v>
      </c>
      <c r="C13" s="426"/>
      <c r="D13" s="427"/>
      <c r="E13" s="428"/>
      <c r="F13" s="429">
        <v>100</v>
      </c>
      <c r="G13" s="426"/>
      <c r="H13" s="430"/>
      <c r="J13" s="126"/>
    </row>
    <row r="14" spans="2:17" ht="22.5" customHeight="1">
      <c r="B14" s="150" t="s">
        <v>2</v>
      </c>
      <c r="C14" s="431"/>
      <c r="D14" s="431"/>
      <c r="E14" s="432"/>
      <c r="F14" s="431">
        <f>INT(F12/F13*100)</f>
        <v>63</v>
      </c>
      <c r="G14" s="431"/>
      <c r="H14" s="433"/>
      <c r="J14" s="126"/>
    </row>
    <row r="15" spans="2:17" ht="22.5" customHeight="1" thickBot="1">
      <c r="B15" s="151" t="s">
        <v>4</v>
      </c>
      <c r="C15" s="434"/>
      <c r="D15" s="435"/>
      <c r="E15" s="436"/>
      <c r="F15" s="434">
        <v>0.5</v>
      </c>
      <c r="G15" s="435"/>
      <c r="H15" s="437"/>
      <c r="J15" s="126"/>
    </row>
    <row r="16" spans="2:17" ht="22.5" customHeight="1" thickBot="1">
      <c r="B16" s="152"/>
      <c r="C16" s="153"/>
      <c r="D16" s="153"/>
      <c r="E16" s="154">
        <f>C14/100</f>
        <v>0</v>
      </c>
      <c r="F16" s="153"/>
      <c r="G16" s="153"/>
      <c r="H16" s="154">
        <f>F14/100</f>
        <v>0.63</v>
      </c>
      <c r="J16" s="126"/>
    </row>
    <row r="17" spans="1:8" ht="22.5" customHeight="1" thickBot="1">
      <c r="B17" s="420" t="s">
        <v>51</v>
      </c>
      <c r="C17" s="421"/>
      <c r="D17" s="421"/>
      <c r="E17" s="421"/>
      <c r="F17" s="421"/>
      <c r="G17" s="421"/>
      <c r="H17" s="422"/>
    </row>
    <row r="18" spans="1:8" ht="113.4" customHeight="1" thickBot="1">
      <c r="A18" s="155" t="s">
        <v>220</v>
      </c>
      <c r="B18" s="423" t="s">
        <v>825</v>
      </c>
      <c r="C18" s="424"/>
      <c r="D18" s="424"/>
      <c r="E18" s="424"/>
      <c r="F18" s="424"/>
      <c r="G18" s="424"/>
      <c r="H18" s="425"/>
    </row>
    <row r="19" spans="1:8" ht="225" customHeight="1" thickBot="1">
      <c r="A19" s="156" t="s">
        <v>221</v>
      </c>
      <c r="B19" s="423" t="s">
        <v>826</v>
      </c>
      <c r="C19" s="424"/>
      <c r="D19" s="424"/>
      <c r="E19" s="424"/>
      <c r="F19" s="424"/>
      <c r="G19" s="424"/>
      <c r="H19" s="425"/>
    </row>
    <row r="20" spans="1:8" ht="138" customHeight="1" thickBot="1">
      <c r="A20" s="156"/>
      <c r="B20" s="423"/>
      <c r="C20" s="424"/>
      <c r="D20" s="424"/>
      <c r="E20" s="424"/>
      <c r="F20" s="424"/>
      <c r="G20" s="424"/>
      <c r="H20" s="425"/>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zoomScale="90" zoomScaleNormal="90" workbookViewId="0">
      <selection activeCell="D6" sqref="D6"/>
    </sheetView>
  </sheetViews>
  <sheetFormatPr defaultColWidth="8.88671875" defaultRowHeight="13.8"/>
  <cols>
    <col min="1" max="2" width="8.88671875" style="1"/>
    <col min="3" max="3" width="42.44140625" style="1" customWidth="1"/>
    <col min="4" max="4" width="25.5546875" style="1" customWidth="1"/>
    <col min="5" max="5" width="25.5546875" style="45" customWidth="1"/>
    <col min="6" max="7" width="25.5546875" style="1" customWidth="1"/>
    <col min="8" max="16384" width="8.88671875" style="1"/>
  </cols>
  <sheetData>
    <row r="1" spans="1:7" ht="14.4" thickBot="1"/>
    <row r="2" spans="1:7" s="3" customFormat="1" ht="12.75" customHeight="1">
      <c r="B2" s="447" t="s">
        <v>201</v>
      </c>
      <c r="C2" s="448"/>
      <c r="D2" s="438"/>
      <c r="E2" s="439"/>
      <c r="F2" s="440"/>
    </row>
    <row r="3" spans="1:7" s="3" customFormat="1" ht="15" customHeight="1">
      <c r="B3" s="449"/>
      <c r="C3" s="450"/>
      <c r="D3" s="441"/>
      <c r="E3" s="442"/>
      <c r="F3" s="443"/>
    </row>
    <row r="4" spans="1:7" ht="15" customHeight="1" thickBot="1">
      <c r="B4" s="451"/>
      <c r="C4" s="452"/>
      <c r="D4" s="444"/>
      <c r="E4" s="445"/>
      <c r="F4" s="446"/>
    </row>
    <row r="5" spans="1:7" s="2" customFormat="1" ht="15" customHeight="1" thickBot="1">
      <c r="A5" s="1"/>
      <c r="B5" s="9" t="s">
        <v>177</v>
      </c>
      <c r="C5" s="19"/>
      <c r="D5" s="118" t="s">
        <v>163</v>
      </c>
      <c r="E5" s="119" t="s">
        <v>178</v>
      </c>
      <c r="F5" s="120" t="s">
        <v>179</v>
      </c>
      <c r="G5" s="121" t="s">
        <v>22</v>
      </c>
    </row>
    <row r="6" spans="1:7" s="2" customFormat="1" ht="15" customHeight="1">
      <c r="A6" s="1"/>
      <c r="B6" s="5"/>
      <c r="C6" s="52" t="s">
        <v>181</v>
      </c>
      <c r="D6" s="105"/>
      <c r="E6" s="106"/>
      <c r="F6" s="109"/>
      <c r="G6" s="122" t="str">
        <f>IF(COUNTIF(D6:F6,"Standard")&gt;0,"Standard",IF(COUNTIF(D6:F6,"Optional")&gt;0,"Optional","N/A"))</f>
        <v>N/A</v>
      </c>
    </row>
    <row r="7" spans="1:7" s="2" customFormat="1" ht="15" customHeight="1">
      <c r="A7" s="1"/>
      <c r="B7" s="5"/>
      <c r="C7" s="52" t="s">
        <v>180</v>
      </c>
      <c r="D7" s="105"/>
      <c r="E7" s="106"/>
      <c r="F7" s="109"/>
      <c r="G7" s="122" t="str">
        <f t="shared" ref="G7:G13" si="0">IF(COUNTIF(D7:F7,"Standard")&gt;0,"Standard",IF(COUNTIF(D7:F7,"Optional")&gt;0,"Optional","N/A"))</f>
        <v>N/A</v>
      </c>
    </row>
    <row r="8" spans="1:7" s="2" customFormat="1" ht="15" customHeight="1">
      <c r="A8" s="1"/>
      <c r="B8" s="5"/>
      <c r="C8" s="52" t="s">
        <v>182</v>
      </c>
      <c r="D8" s="105"/>
      <c r="E8" s="106"/>
      <c r="F8" s="109"/>
      <c r="G8" s="122" t="str">
        <f t="shared" si="0"/>
        <v>N/A</v>
      </c>
    </row>
    <row r="9" spans="1:7" s="2" customFormat="1" ht="15" customHeight="1">
      <c r="A9" s="1"/>
      <c r="B9" s="5"/>
      <c r="C9" s="52" t="s">
        <v>186</v>
      </c>
      <c r="D9" s="105"/>
      <c r="E9" s="106"/>
      <c r="F9" s="109"/>
      <c r="G9" s="122" t="str">
        <f t="shared" si="0"/>
        <v>N/A</v>
      </c>
    </row>
    <row r="10" spans="1:7" s="2" customFormat="1" ht="15" customHeight="1">
      <c r="A10" s="1"/>
      <c r="B10" s="5"/>
      <c r="C10" s="52" t="s">
        <v>183</v>
      </c>
      <c r="D10" s="105"/>
      <c r="E10" s="106"/>
      <c r="F10" s="109"/>
      <c r="G10" s="122" t="str">
        <f t="shared" si="0"/>
        <v>N/A</v>
      </c>
    </row>
    <row r="11" spans="1:7" s="2" customFormat="1" ht="15" customHeight="1">
      <c r="A11" s="1"/>
      <c r="B11" s="5"/>
      <c r="C11" s="52" t="s">
        <v>185</v>
      </c>
      <c r="D11" s="105"/>
      <c r="E11" s="106"/>
      <c r="F11" s="109"/>
      <c r="G11" s="122" t="str">
        <f t="shared" si="0"/>
        <v>N/A</v>
      </c>
    </row>
    <row r="12" spans="1:7" s="2" customFormat="1" ht="15" customHeight="1">
      <c r="A12" s="1"/>
      <c r="B12" s="5"/>
      <c r="C12" s="52" t="s">
        <v>187</v>
      </c>
      <c r="D12" s="105"/>
      <c r="E12" s="106"/>
      <c r="F12" s="109"/>
      <c r="G12" s="122" t="str">
        <f t="shared" si="0"/>
        <v>N/A</v>
      </c>
    </row>
    <row r="13" spans="1:7" s="2" customFormat="1" ht="15" customHeight="1" thickBot="1">
      <c r="A13" s="1"/>
      <c r="B13" s="5"/>
      <c r="C13" s="52" t="s">
        <v>184</v>
      </c>
      <c r="D13" s="107"/>
      <c r="E13" s="106"/>
      <c r="F13" s="109"/>
      <c r="G13" s="122" t="str">
        <f t="shared" si="0"/>
        <v>N/A</v>
      </c>
    </row>
    <row r="14" spans="1:7" s="2" customFormat="1" ht="15" customHeight="1" thickBot="1">
      <c r="A14" s="1"/>
      <c r="B14" s="453" t="s">
        <v>188</v>
      </c>
      <c r="C14" s="454"/>
      <c r="D14" s="114" t="str">
        <f>IF(COUNTIF(D6:D13,"Standard")&gt;0,"Standard",IF(COUNTIF(D6:D13,"Optional")&gt;0,"Optional","N/A"))</f>
        <v>N/A</v>
      </c>
      <c r="E14" s="115" t="str">
        <f>IF(COUNTIF(E6:E13,"Standard")&gt;0,"Standard",IF(COUNTIF(E6:E13,"Optional")&gt;0,"Optional","N/A"))</f>
        <v>N/A</v>
      </c>
      <c r="F14" s="116" t="str">
        <f>IF(COUNTIF(F6:F13,"Standard")&gt;0,"Standard",IF(COUNTIF(F6:F13,"Optional")&gt;0,"Optional","N/A"))</f>
        <v>N/A</v>
      </c>
      <c r="G14" s="123"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8" t="s">
        <v>202</v>
      </c>
      <c r="E16" s="119" t="s">
        <v>190</v>
      </c>
      <c r="F16" s="120" t="s">
        <v>191</v>
      </c>
      <c r="G16" s="121" t="s">
        <v>82</v>
      </c>
    </row>
    <row r="17" spans="1:7" s="2" customFormat="1" ht="15" customHeight="1">
      <c r="A17" s="1"/>
      <c r="B17" s="5"/>
      <c r="C17" s="52" t="s">
        <v>181</v>
      </c>
      <c r="D17" s="105"/>
      <c r="E17" s="106"/>
      <c r="F17" s="109"/>
      <c r="G17" s="122" t="str">
        <f>IF(COUNTIF(D17:F17,"Standard")&gt;0,"Standard",IF(COUNTIF(D17:F17,"Optional")&gt;0,"Optional","N/A"))</f>
        <v>N/A</v>
      </c>
    </row>
    <row r="18" spans="1:7" s="2" customFormat="1" ht="15" customHeight="1">
      <c r="A18" s="1"/>
      <c r="B18" s="5"/>
      <c r="C18" s="52" t="s">
        <v>180</v>
      </c>
      <c r="D18" s="105"/>
      <c r="E18" s="106"/>
      <c r="F18" s="109"/>
      <c r="G18" s="122" t="str">
        <f t="shared" ref="G18:G24" si="1">IF(COUNTIF(D18:F18,"Standard")&gt;0,"Standard",IF(COUNTIF(D18:F18,"Optional")&gt;0,"Optional","N/A"))</f>
        <v>N/A</v>
      </c>
    </row>
    <row r="19" spans="1:7" s="2" customFormat="1" ht="15" customHeight="1">
      <c r="A19" s="1"/>
      <c r="B19" s="5"/>
      <c r="C19" s="52" t="s">
        <v>182</v>
      </c>
      <c r="D19" s="105"/>
      <c r="E19" s="106"/>
      <c r="F19" s="109"/>
      <c r="G19" s="122" t="str">
        <f t="shared" si="1"/>
        <v>N/A</v>
      </c>
    </row>
    <row r="20" spans="1:7" s="2" customFormat="1" ht="15" customHeight="1">
      <c r="A20" s="1"/>
      <c r="B20" s="5"/>
      <c r="C20" s="52" t="s">
        <v>186</v>
      </c>
      <c r="D20" s="105"/>
      <c r="E20" s="106"/>
      <c r="F20" s="109"/>
      <c r="G20" s="122" t="str">
        <f t="shared" si="1"/>
        <v>N/A</v>
      </c>
    </row>
    <row r="21" spans="1:7" s="2" customFormat="1" ht="15" customHeight="1">
      <c r="A21" s="1"/>
      <c r="B21" s="5"/>
      <c r="C21" s="52" t="s">
        <v>183</v>
      </c>
      <c r="D21" s="105"/>
      <c r="E21" s="106"/>
      <c r="F21" s="109"/>
      <c r="G21" s="122" t="str">
        <f t="shared" si="1"/>
        <v>N/A</v>
      </c>
    </row>
    <row r="22" spans="1:7" s="2" customFormat="1" ht="15" customHeight="1">
      <c r="A22" s="1"/>
      <c r="B22" s="5"/>
      <c r="C22" s="52" t="s">
        <v>185</v>
      </c>
      <c r="D22" s="105"/>
      <c r="E22" s="106"/>
      <c r="F22" s="109"/>
      <c r="G22" s="122" t="str">
        <f t="shared" si="1"/>
        <v>N/A</v>
      </c>
    </row>
    <row r="23" spans="1:7" s="2" customFormat="1" ht="15" customHeight="1">
      <c r="A23" s="1"/>
      <c r="B23" s="5"/>
      <c r="C23" s="52" t="s">
        <v>187</v>
      </c>
      <c r="D23" s="105"/>
      <c r="E23" s="106"/>
      <c r="F23" s="109"/>
      <c r="G23" s="122" t="str">
        <f t="shared" si="1"/>
        <v>N/A</v>
      </c>
    </row>
    <row r="24" spans="1:7" s="2" customFormat="1" ht="15" customHeight="1" thickBot="1">
      <c r="A24" s="1"/>
      <c r="B24" s="5"/>
      <c r="C24" s="52" t="s">
        <v>184</v>
      </c>
      <c r="D24" s="107"/>
      <c r="E24" s="108"/>
      <c r="F24" s="110"/>
      <c r="G24" s="122" t="str">
        <f t="shared" si="1"/>
        <v>N/A</v>
      </c>
    </row>
    <row r="25" spans="1:7" s="2" customFormat="1" ht="15" customHeight="1" thickBot="1">
      <c r="A25" s="1"/>
      <c r="B25" s="453" t="s">
        <v>198</v>
      </c>
      <c r="C25" s="454"/>
      <c r="D25" s="114" t="str">
        <f>IF(COUNTIF(D17:D24,"Standard")&gt;0,"Standard",IF(COUNTIF(D17:D24,"Optional")&gt;0,"Optional","N/A"))</f>
        <v>N/A</v>
      </c>
      <c r="E25" s="115" t="str">
        <f>IF(COUNTIF(E17:E24,"Standard")&gt;0,"Standard",IF(COUNTIF(E17:E24,"Optional")&gt;0,"Optional","N/A"))</f>
        <v>N/A</v>
      </c>
      <c r="F25" s="116" t="str">
        <f>IF(COUNTIF(F17:F24,"Standard")&gt;0,"Standard",IF(COUNTIF(F17:F24,"Optional")&gt;0,"Optional","N/A"))</f>
        <v>N/A</v>
      </c>
      <c r="G25" s="123"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8" t="s">
        <v>193</v>
      </c>
      <c r="E27" s="119" t="s">
        <v>194</v>
      </c>
      <c r="F27" s="120"/>
      <c r="G27" s="121" t="s">
        <v>1</v>
      </c>
    </row>
    <row r="28" spans="1:7" s="2" customFormat="1" ht="15" customHeight="1">
      <c r="A28" s="1"/>
      <c r="B28" s="5"/>
      <c r="C28" s="52" t="s">
        <v>181</v>
      </c>
      <c r="D28" s="105"/>
      <c r="E28" s="106"/>
      <c r="F28" s="111"/>
      <c r="G28" s="122" t="str">
        <f>IF(COUNTIF(D28:F28,"Standard")&gt;0,"Standard",IF(COUNTIF(D28:F28,"Optional")&gt;0,"Optional","N/A"))</f>
        <v>N/A</v>
      </c>
    </row>
    <row r="29" spans="1:7" s="2" customFormat="1" ht="15" customHeight="1">
      <c r="A29" s="1"/>
      <c r="B29" s="5"/>
      <c r="C29" s="52" t="s">
        <v>180</v>
      </c>
      <c r="D29" s="105"/>
      <c r="E29" s="106"/>
      <c r="F29" s="111"/>
      <c r="G29" s="122" t="str">
        <f t="shared" ref="G29:G35" si="2">IF(COUNTIF(D29:F29,"Standard")&gt;0,"Standard",IF(COUNTIF(D29:F29,"Optional")&gt;0,"Optional","N/A"))</f>
        <v>N/A</v>
      </c>
    </row>
    <row r="30" spans="1:7" s="2" customFormat="1" ht="15" customHeight="1">
      <c r="A30" s="1"/>
      <c r="B30" s="5"/>
      <c r="C30" s="52" t="s">
        <v>182</v>
      </c>
      <c r="D30" s="105"/>
      <c r="E30" s="106"/>
      <c r="F30" s="111"/>
      <c r="G30" s="122" t="str">
        <f t="shared" si="2"/>
        <v>N/A</v>
      </c>
    </row>
    <row r="31" spans="1:7" s="2" customFormat="1" ht="15" customHeight="1">
      <c r="A31" s="1"/>
      <c r="B31" s="5"/>
      <c r="C31" s="52" t="s">
        <v>186</v>
      </c>
      <c r="D31" s="105"/>
      <c r="E31" s="106"/>
      <c r="F31" s="111"/>
      <c r="G31" s="122" t="str">
        <f t="shared" si="2"/>
        <v>N/A</v>
      </c>
    </row>
    <row r="32" spans="1:7" s="2" customFormat="1" ht="15" customHeight="1">
      <c r="A32" s="1"/>
      <c r="B32" s="5"/>
      <c r="C32" s="52" t="s">
        <v>183</v>
      </c>
      <c r="D32" s="105"/>
      <c r="E32" s="106"/>
      <c r="F32" s="111"/>
      <c r="G32" s="122" t="str">
        <f t="shared" si="2"/>
        <v>N/A</v>
      </c>
    </row>
    <row r="33" spans="1:7" s="2" customFormat="1" ht="15" customHeight="1">
      <c r="A33" s="1"/>
      <c r="B33" s="5"/>
      <c r="C33" s="52" t="s">
        <v>185</v>
      </c>
      <c r="D33" s="105"/>
      <c r="E33" s="106"/>
      <c r="F33" s="111"/>
      <c r="G33" s="122" t="str">
        <f t="shared" si="2"/>
        <v>N/A</v>
      </c>
    </row>
    <row r="34" spans="1:7" s="2" customFormat="1" ht="15" customHeight="1">
      <c r="A34" s="1"/>
      <c r="B34" s="5"/>
      <c r="C34" s="52" t="s">
        <v>187</v>
      </c>
      <c r="D34" s="105"/>
      <c r="E34" s="106"/>
      <c r="F34" s="111"/>
      <c r="G34" s="122" t="str">
        <f t="shared" si="2"/>
        <v>N/A</v>
      </c>
    </row>
    <row r="35" spans="1:7" s="2" customFormat="1" ht="15" customHeight="1" thickBot="1">
      <c r="A35" s="1"/>
      <c r="B35" s="5"/>
      <c r="C35" s="52" t="s">
        <v>184</v>
      </c>
      <c r="D35" s="107"/>
      <c r="E35" s="108"/>
      <c r="F35" s="112"/>
      <c r="G35" s="122" t="str">
        <f t="shared" si="2"/>
        <v>N/A</v>
      </c>
    </row>
    <row r="36" spans="1:7" s="2" customFormat="1" ht="15" customHeight="1" thickBot="1">
      <c r="A36" s="1"/>
      <c r="B36" s="453" t="s">
        <v>199</v>
      </c>
      <c r="C36" s="454"/>
      <c r="D36" s="114" t="str">
        <f>IF(COUNTIF(D28:D35,"Standard")&gt;0,"Standard",IF(COUNTIF(D28:D35,"Optional")&gt;0,"Optional","N/A"))</f>
        <v>N/A</v>
      </c>
      <c r="E36" s="115" t="str">
        <f>IF(COUNTIF(E28:E35,"Standard")&gt;0,"Standard",IF(COUNTIF(E28:E35,"Optional")&gt;0,"Optional","N/A"))</f>
        <v>N/A</v>
      </c>
      <c r="F36" s="113"/>
      <c r="G36" s="123"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8" t="s">
        <v>196</v>
      </c>
      <c r="E38" s="119" t="s">
        <v>197</v>
      </c>
      <c r="F38" s="120" t="s">
        <v>175</v>
      </c>
      <c r="G38" s="121" t="s">
        <v>169</v>
      </c>
    </row>
    <row r="39" spans="1:7" s="2" customFormat="1" ht="15" customHeight="1">
      <c r="A39" s="1"/>
      <c r="B39" s="5"/>
      <c r="C39" s="52" t="s">
        <v>181</v>
      </c>
      <c r="D39" s="105"/>
      <c r="E39" s="106"/>
      <c r="F39" s="109"/>
      <c r="G39" s="122" t="str">
        <f>IF(COUNTIF(D39:F39,"Standard")&gt;0,"Standard",IF(COUNTIF(D39:F39,"Optional")&gt;0,"Optional","N/A"))</f>
        <v>N/A</v>
      </c>
    </row>
    <row r="40" spans="1:7" s="2" customFormat="1" ht="15" customHeight="1">
      <c r="A40" s="1"/>
      <c r="B40" s="5"/>
      <c r="C40" s="52" t="s">
        <v>180</v>
      </c>
      <c r="D40" s="105"/>
      <c r="E40" s="106"/>
      <c r="F40" s="109"/>
      <c r="G40" s="122" t="str">
        <f t="shared" ref="G40:G46" si="3">IF(COUNTIF(D40:F40,"Standard")&gt;0,"Standard",IF(COUNTIF(D40:F40,"Optional")&gt;0,"Optional","N/A"))</f>
        <v>N/A</v>
      </c>
    </row>
    <row r="41" spans="1:7" s="2" customFormat="1" ht="15" customHeight="1">
      <c r="A41" s="1"/>
      <c r="B41" s="5"/>
      <c r="C41" s="52" t="s">
        <v>182</v>
      </c>
      <c r="D41" s="105"/>
      <c r="E41" s="106"/>
      <c r="F41" s="109"/>
      <c r="G41" s="122" t="str">
        <f t="shared" si="3"/>
        <v>N/A</v>
      </c>
    </row>
    <row r="42" spans="1:7" s="2" customFormat="1" ht="15" customHeight="1">
      <c r="A42" s="1"/>
      <c r="B42" s="5"/>
      <c r="C42" s="52" t="s">
        <v>186</v>
      </c>
      <c r="D42" s="105"/>
      <c r="E42" s="106"/>
      <c r="F42" s="109"/>
      <c r="G42" s="122" t="str">
        <f t="shared" si="3"/>
        <v>N/A</v>
      </c>
    </row>
    <row r="43" spans="1:7" s="2" customFormat="1" ht="15" customHeight="1">
      <c r="A43" s="1"/>
      <c r="B43" s="5"/>
      <c r="C43" s="52" t="s">
        <v>183</v>
      </c>
      <c r="D43" s="105"/>
      <c r="E43" s="106"/>
      <c r="F43" s="109"/>
      <c r="G43" s="122" t="str">
        <f t="shared" si="3"/>
        <v>N/A</v>
      </c>
    </row>
    <row r="44" spans="1:7" s="2" customFormat="1" ht="15" customHeight="1">
      <c r="A44" s="1"/>
      <c r="B44" s="5"/>
      <c r="C44" s="52" t="s">
        <v>185</v>
      </c>
      <c r="D44" s="105"/>
      <c r="E44" s="106"/>
      <c r="F44" s="109"/>
      <c r="G44" s="122" t="str">
        <f t="shared" si="3"/>
        <v>N/A</v>
      </c>
    </row>
    <row r="45" spans="1:7" s="2" customFormat="1" ht="15" customHeight="1">
      <c r="A45" s="1"/>
      <c r="B45" s="5"/>
      <c r="C45" s="52" t="s">
        <v>187</v>
      </c>
      <c r="D45" s="105"/>
      <c r="E45" s="106"/>
      <c r="F45" s="109"/>
      <c r="G45" s="122" t="str">
        <f t="shared" si="3"/>
        <v>N/A</v>
      </c>
    </row>
    <row r="46" spans="1:7" s="2" customFormat="1" ht="15" customHeight="1" thickBot="1">
      <c r="A46" s="1"/>
      <c r="B46" s="5"/>
      <c r="C46" s="52" t="s">
        <v>184</v>
      </c>
      <c r="D46" s="107"/>
      <c r="E46" s="108"/>
      <c r="F46" s="110"/>
      <c r="G46" s="122" t="str">
        <f t="shared" si="3"/>
        <v>N/A</v>
      </c>
    </row>
    <row r="47" spans="1:7" s="2" customFormat="1" ht="15" customHeight="1" thickBot="1">
      <c r="A47" s="1"/>
      <c r="B47" s="453" t="s">
        <v>200</v>
      </c>
      <c r="C47" s="454"/>
      <c r="D47" s="114" t="str">
        <f>IF(COUNTIF(D39:D46,"Standard")&gt;0,"Standard",IF(COUNTIF(D39:D46,"Optional")&gt;0,"Optional","N/A"))</f>
        <v>N/A</v>
      </c>
      <c r="E47" s="115" t="str">
        <f>IF(COUNTIF(E39:E46,"Standard")&gt;0,"Standard",IF(COUNTIF(E39:E46,"Optional")&gt;0,"Optional","N/A"))</f>
        <v>N/A</v>
      </c>
      <c r="F47" s="116" t="str">
        <f>IF(COUNTIF(F39:F46,"Standard")&gt;0,"Standard",IF(COUNTIF(F39:F46,"Optional")&gt;0,"Optional","N/A"))</f>
        <v>N/A</v>
      </c>
      <c r="G47" s="123"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zoomScale="85" zoomScaleNormal="85" workbookViewId="0">
      <selection activeCell="C26" sqref="C26"/>
    </sheetView>
  </sheetViews>
  <sheetFormatPr defaultColWidth="9.109375" defaultRowHeight="14.4"/>
  <cols>
    <col min="1" max="1" width="22.5546875" style="224" customWidth="1"/>
    <col min="2" max="2" width="20.6640625" style="176" customWidth="1"/>
    <col min="3" max="3" width="11.6640625" style="177" customWidth="1"/>
    <col min="4" max="24" width="9.88671875" style="176" customWidth="1"/>
    <col min="25" max="25" width="15.44140625" style="176" customWidth="1"/>
    <col min="26" max="26" width="14" style="176" customWidth="1"/>
    <col min="27" max="28" width="9.88671875" style="176" customWidth="1"/>
    <col min="29" max="29" width="30" style="176" customWidth="1"/>
    <col min="30" max="32" width="9.109375" style="221" customWidth="1"/>
    <col min="33" max="16384" width="9.109375" style="176"/>
  </cols>
  <sheetData>
    <row r="1" spans="1:32" ht="25.5" customHeight="1" thickBot="1">
      <c r="A1" s="232" t="str">
        <f>CONCATENATE('General Overview'!C3," ",'General Overview'!C4)</f>
        <v>FIAT Ducato</v>
      </c>
      <c r="Q1" s="178"/>
    </row>
    <row r="2" spans="1:32" ht="18.600000000000001" thickBot="1">
      <c r="A2" s="179" t="s">
        <v>358</v>
      </c>
      <c r="B2" s="459" t="s">
        <v>359</v>
      </c>
      <c r="C2" s="180"/>
      <c r="D2" s="462" t="s">
        <v>360</v>
      </c>
      <c r="E2" s="463"/>
      <c r="F2" s="463"/>
      <c r="G2" s="463"/>
      <c r="H2" s="463"/>
      <c r="I2" s="463"/>
      <c r="J2" s="463"/>
      <c r="K2" s="463"/>
      <c r="L2" s="463"/>
      <c r="M2" s="463"/>
      <c r="N2" s="462" t="s">
        <v>361</v>
      </c>
      <c r="O2" s="463"/>
      <c r="P2" s="463"/>
      <c r="Q2" s="463"/>
      <c r="R2" s="463"/>
      <c r="S2" s="463"/>
      <c r="T2" s="463"/>
      <c r="U2" s="463"/>
      <c r="V2" s="463"/>
      <c r="W2" s="463"/>
      <c r="X2" s="463"/>
      <c r="Y2" s="463"/>
      <c r="Z2" s="463"/>
      <c r="AA2" s="462" t="s">
        <v>362</v>
      </c>
      <c r="AB2" s="463"/>
      <c r="AC2" s="181"/>
      <c r="AD2" s="458"/>
      <c r="AE2" s="458"/>
      <c r="AF2" s="458"/>
    </row>
    <row r="3" spans="1:32" ht="17.25" customHeight="1" thickBot="1">
      <c r="A3" s="182"/>
      <c r="B3" s="460"/>
      <c r="C3" s="183"/>
      <c r="D3" s="455" t="s">
        <v>11</v>
      </c>
      <c r="E3" s="457"/>
      <c r="F3" s="456" t="s">
        <v>363</v>
      </c>
      <c r="G3" s="456"/>
      <c r="H3" s="457"/>
      <c r="I3" s="455" t="s">
        <v>364</v>
      </c>
      <c r="J3" s="456"/>
      <c r="K3" s="457"/>
      <c r="L3" s="455" t="s">
        <v>365</v>
      </c>
      <c r="M3" s="457"/>
      <c r="N3" s="456" t="s">
        <v>22</v>
      </c>
      <c r="O3" s="456"/>
      <c r="P3" s="457"/>
      <c r="Q3" s="455" t="s">
        <v>366</v>
      </c>
      <c r="R3" s="456"/>
      <c r="S3" s="457"/>
      <c r="T3" s="455" t="s">
        <v>367</v>
      </c>
      <c r="U3" s="456"/>
      <c r="V3" s="456"/>
      <c r="W3" s="456"/>
      <c r="X3" s="457"/>
      <c r="Y3" s="455" t="s">
        <v>368</v>
      </c>
      <c r="Z3" s="456"/>
      <c r="AA3" s="184"/>
      <c r="AB3" s="185"/>
      <c r="AC3" s="186"/>
      <c r="AD3" s="226" t="s">
        <v>82</v>
      </c>
      <c r="AE3" s="226" t="s">
        <v>169</v>
      </c>
      <c r="AF3" s="226" t="s">
        <v>1</v>
      </c>
    </row>
    <row r="4" spans="1:32" ht="27.75" customHeight="1" thickBot="1">
      <c r="A4" s="182"/>
      <c r="B4" s="461"/>
      <c r="C4" s="187" t="s">
        <v>369</v>
      </c>
      <c r="D4" s="188" t="s">
        <v>370</v>
      </c>
      <c r="E4" s="189" t="s">
        <v>371</v>
      </c>
      <c r="F4" s="190" t="s">
        <v>372</v>
      </c>
      <c r="G4" s="189" t="s">
        <v>370</v>
      </c>
      <c r="H4" s="191" t="s">
        <v>371</v>
      </c>
      <c r="I4" s="190" t="s">
        <v>372</v>
      </c>
      <c r="J4" s="189" t="s">
        <v>370</v>
      </c>
      <c r="K4" s="191" t="s">
        <v>371</v>
      </c>
      <c r="L4" s="192" t="s">
        <v>373</v>
      </c>
      <c r="M4" s="191" t="s">
        <v>374</v>
      </c>
      <c r="N4" s="193" t="s">
        <v>375</v>
      </c>
      <c r="O4" s="194" t="s">
        <v>376</v>
      </c>
      <c r="P4" s="195" t="s">
        <v>377</v>
      </c>
      <c r="Q4" s="196" t="s">
        <v>378</v>
      </c>
      <c r="R4" s="196" t="s">
        <v>379</v>
      </c>
      <c r="S4" s="191" t="s">
        <v>380</v>
      </c>
      <c r="T4" s="190" t="s">
        <v>381</v>
      </c>
      <c r="U4" s="197" t="s">
        <v>382</v>
      </c>
      <c r="V4" s="197" t="s">
        <v>383</v>
      </c>
      <c r="W4" s="196" t="s">
        <v>384</v>
      </c>
      <c r="X4" s="191" t="s">
        <v>385</v>
      </c>
      <c r="Y4" s="196" t="s">
        <v>386</v>
      </c>
      <c r="Z4" s="198" t="s">
        <v>387</v>
      </c>
      <c r="AA4" s="199" t="s">
        <v>388</v>
      </c>
      <c r="AB4" s="198" t="s">
        <v>389</v>
      </c>
      <c r="AC4" s="200" t="s">
        <v>221</v>
      </c>
      <c r="AD4" s="227" t="s">
        <v>82</v>
      </c>
      <c r="AE4" s="228" t="s">
        <v>169</v>
      </c>
      <c r="AF4" s="227" t="s">
        <v>1</v>
      </c>
    </row>
    <row r="5" spans="1:32" ht="15.75" hidden="1" customHeight="1" thickBot="1">
      <c r="A5" s="182"/>
      <c r="B5" s="201"/>
      <c r="C5" s="183"/>
      <c r="D5" s="190">
        <v>1</v>
      </c>
      <c r="E5" s="191">
        <v>2</v>
      </c>
      <c r="F5" s="190">
        <v>3</v>
      </c>
      <c r="G5" s="196">
        <v>4</v>
      </c>
      <c r="H5" s="191">
        <v>5</v>
      </c>
      <c r="I5" s="190">
        <v>6</v>
      </c>
      <c r="J5" s="196">
        <v>7</v>
      </c>
      <c r="K5" s="191">
        <v>8</v>
      </c>
      <c r="L5" s="190">
        <v>9</v>
      </c>
      <c r="M5" s="191">
        <v>10</v>
      </c>
      <c r="N5" s="190">
        <v>11</v>
      </c>
      <c r="O5" s="196">
        <v>12</v>
      </c>
      <c r="P5" s="191">
        <v>13</v>
      </c>
      <c r="Q5" s="190">
        <v>14</v>
      </c>
      <c r="R5" s="196">
        <v>15</v>
      </c>
      <c r="S5" s="191">
        <v>16</v>
      </c>
      <c r="T5" s="190">
        <v>17</v>
      </c>
      <c r="U5" s="196">
        <v>18</v>
      </c>
      <c r="V5" s="196">
        <v>19</v>
      </c>
      <c r="W5" s="196">
        <v>20</v>
      </c>
      <c r="X5" s="191">
        <v>21</v>
      </c>
      <c r="Y5" s="190">
        <v>22</v>
      </c>
      <c r="Z5" s="191">
        <v>23</v>
      </c>
      <c r="AA5" s="190">
        <v>24</v>
      </c>
      <c r="AB5" s="191">
        <v>25</v>
      </c>
      <c r="AC5" s="202"/>
    </row>
    <row r="6" spans="1:32">
      <c r="A6" s="182"/>
      <c r="B6" s="298" t="s">
        <v>390</v>
      </c>
      <c r="C6" s="203" t="s">
        <v>391</v>
      </c>
      <c r="D6" s="204" t="s">
        <v>392</v>
      </c>
      <c r="E6" s="205" t="s">
        <v>392</v>
      </c>
      <c r="F6" s="204" t="s">
        <v>393</v>
      </c>
      <c r="G6" s="207" t="s">
        <v>393</v>
      </c>
      <c r="H6" s="205" t="s">
        <v>393</v>
      </c>
      <c r="I6" s="204" t="s">
        <v>393</v>
      </c>
      <c r="J6" s="207" t="s">
        <v>393</v>
      </c>
      <c r="K6" s="205" t="s">
        <v>393</v>
      </c>
      <c r="L6" s="204" t="s">
        <v>393</v>
      </c>
      <c r="M6" s="205" t="s">
        <v>393</v>
      </c>
      <c r="N6" s="204" t="s">
        <v>393</v>
      </c>
      <c r="O6" s="207" t="s">
        <v>393</v>
      </c>
      <c r="P6" s="205" t="s">
        <v>393</v>
      </c>
      <c r="Q6" s="204" t="s">
        <v>393</v>
      </c>
      <c r="R6" s="207" t="s">
        <v>393</v>
      </c>
      <c r="S6" s="205" t="s">
        <v>393</v>
      </c>
      <c r="T6" s="204" t="s">
        <v>393</v>
      </c>
      <c r="U6" s="207" t="s">
        <v>393</v>
      </c>
      <c r="V6" s="207" t="s">
        <v>392</v>
      </c>
      <c r="W6" s="207" t="s">
        <v>392</v>
      </c>
      <c r="X6" s="205" t="s">
        <v>392</v>
      </c>
      <c r="Y6" s="204" t="s">
        <v>393</v>
      </c>
      <c r="Z6" s="205" t="s">
        <v>393</v>
      </c>
      <c r="AA6" s="206" t="s">
        <v>393</v>
      </c>
      <c r="AB6" s="205" t="s">
        <v>393</v>
      </c>
      <c r="AC6" s="208"/>
      <c r="AD6" s="221" t="str" cm="1">
        <f t="array" ref="AD6">IF(OR(Q6:S6="Std"),"Std",IF(OR(Q6:S6="Opt1",Q6:S6="Opt2"),"Opt","N/A"))</f>
        <v>Opt</v>
      </c>
      <c r="AE6" s="221" t="str">
        <f t="array" ref="AE6">IF(OR(T6:X6="Std"),"Std",IF(OR(T6:X6="Opt1",T6:X6="Opt2"),"Opt","N/A"))</f>
        <v>Std</v>
      </c>
      <c r="AF6" s="221" t="str">
        <f t="array" ref="AF6">IF(OR(Y6:Z6="Std"),"Std",IF(OR(Y6:Z6="Opt1",Y6:Z6="Opt2"),"Opt","N/A"))</f>
        <v>Opt</v>
      </c>
    </row>
    <row r="7" spans="1:32">
      <c r="A7" s="182"/>
      <c r="B7" s="298" t="s">
        <v>395</v>
      </c>
      <c r="C7" s="203" t="s">
        <v>396</v>
      </c>
      <c r="D7" s="371" t="s">
        <v>392</v>
      </c>
      <c r="E7" s="372" t="s">
        <v>392</v>
      </c>
      <c r="F7" s="371" t="s">
        <v>393</v>
      </c>
      <c r="G7" s="373" t="s">
        <v>393</v>
      </c>
      <c r="H7" s="372" t="s">
        <v>393</v>
      </c>
      <c r="I7" s="371" t="s">
        <v>393</v>
      </c>
      <c r="J7" s="373" t="s">
        <v>393</v>
      </c>
      <c r="K7" s="372" t="s">
        <v>393</v>
      </c>
      <c r="L7" s="371" t="s">
        <v>393</v>
      </c>
      <c r="M7" s="372" t="s">
        <v>393</v>
      </c>
      <c r="N7" s="371" t="s">
        <v>393</v>
      </c>
      <c r="O7" s="373" t="s">
        <v>393</v>
      </c>
      <c r="P7" s="372" t="s">
        <v>393</v>
      </c>
      <c r="Q7" s="371" t="s">
        <v>393</v>
      </c>
      <c r="R7" s="373" t="s">
        <v>393</v>
      </c>
      <c r="S7" s="372" t="s">
        <v>393</v>
      </c>
      <c r="T7" s="371" t="s">
        <v>393</v>
      </c>
      <c r="U7" s="373" t="s">
        <v>393</v>
      </c>
      <c r="V7" s="373" t="s">
        <v>392</v>
      </c>
      <c r="W7" s="373" t="s">
        <v>392</v>
      </c>
      <c r="X7" s="372" t="s">
        <v>392</v>
      </c>
      <c r="Y7" s="371" t="s">
        <v>393</v>
      </c>
      <c r="Z7" s="372" t="s">
        <v>393</v>
      </c>
      <c r="AA7" s="374" t="s">
        <v>393</v>
      </c>
      <c r="AB7" s="372" t="s">
        <v>393</v>
      </c>
      <c r="AC7" s="210"/>
      <c r="AD7" s="221" t="str" cm="1">
        <f t="array" ref="AD7">IF(OR(Q7:S7="Std"),"Std",IF(OR(Q7:S7="Opt1",Q7:S7="Opt2"),"Opt","N/A"))</f>
        <v>Opt</v>
      </c>
      <c r="AE7" s="221" t="str">
        <f t="array" ref="AE7">IF(OR(T7:X7="Std"),"Std",IF(OR(T7:X7="Opt1",T7:X7="Opt2"),"Opt","N/A"))</f>
        <v>Std</v>
      </c>
      <c r="AF7" s="221" t="str">
        <f t="array" ref="AF7">IF(OR(Y7:Z7="Std"),"Std",IF(OR(Y7:Z7="Opt1",Y7:Z7="Opt2"),"Opt","N/A"))</f>
        <v>Opt</v>
      </c>
    </row>
    <row r="8" spans="1:32">
      <c r="A8" s="182"/>
      <c r="B8" s="298" t="s">
        <v>397</v>
      </c>
      <c r="C8" s="203" t="s">
        <v>398</v>
      </c>
      <c r="D8" s="371" t="s">
        <v>392</v>
      </c>
      <c r="E8" s="372" t="s">
        <v>392</v>
      </c>
      <c r="F8" s="371" t="s">
        <v>393</v>
      </c>
      <c r="G8" s="373" t="s">
        <v>393</v>
      </c>
      <c r="H8" s="372" t="s">
        <v>393</v>
      </c>
      <c r="I8" s="371" t="s">
        <v>393</v>
      </c>
      <c r="J8" s="373" t="s">
        <v>393</v>
      </c>
      <c r="K8" s="372" t="s">
        <v>393</v>
      </c>
      <c r="L8" s="371" t="s">
        <v>393</v>
      </c>
      <c r="M8" s="372" t="s">
        <v>393</v>
      </c>
      <c r="N8" s="371" t="s">
        <v>393</v>
      </c>
      <c r="O8" s="373" t="s">
        <v>393</v>
      </c>
      <c r="P8" s="372" t="s">
        <v>393</v>
      </c>
      <c r="Q8" s="371" t="s">
        <v>393</v>
      </c>
      <c r="R8" s="373" t="s">
        <v>393</v>
      </c>
      <c r="S8" s="372" t="s">
        <v>393</v>
      </c>
      <c r="T8" s="371" t="s">
        <v>393</v>
      </c>
      <c r="U8" s="373" t="s">
        <v>393</v>
      </c>
      <c r="V8" s="373" t="s">
        <v>392</v>
      </c>
      <c r="W8" s="373" t="s">
        <v>392</v>
      </c>
      <c r="X8" s="372" t="s">
        <v>392</v>
      </c>
      <c r="Y8" s="371" t="s">
        <v>393</v>
      </c>
      <c r="Z8" s="372" t="s">
        <v>393</v>
      </c>
      <c r="AA8" s="374" t="s">
        <v>393</v>
      </c>
      <c r="AB8" s="372" t="s">
        <v>393</v>
      </c>
      <c r="AC8" s="211"/>
      <c r="AD8" s="221" t="str" cm="1">
        <f t="array" ref="AD8">IF(OR(Q8:S8="Std"),"Std",IF(OR(Q8:S8="Opt1",Q8:S8="Opt2"),"Opt","N/A"))</f>
        <v>Opt</v>
      </c>
      <c r="AE8" s="221" t="str">
        <f t="array" ref="AE8">IF(OR(T8:X8="Std"),"Std",IF(OR(T8:X8="Opt1",T8:X8="Opt2"),"Opt","N/A"))</f>
        <v>Std</v>
      </c>
      <c r="AF8" s="221" t="str">
        <f t="array" ref="AF8">IF(OR(Y8:Z8="Std"),"Std",IF(OR(Y8:Z8="Opt1",Y8:Z8="Opt2"),"Opt","N/A"))</f>
        <v>Opt</v>
      </c>
    </row>
    <row r="9" spans="1:32">
      <c r="A9" s="182"/>
      <c r="B9" s="298" t="s">
        <v>399</v>
      </c>
      <c r="C9" s="203" t="s">
        <v>400</v>
      </c>
      <c r="D9" s="371" t="s">
        <v>392</v>
      </c>
      <c r="E9" s="372" t="s">
        <v>392</v>
      </c>
      <c r="F9" s="371" t="s">
        <v>393</v>
      </c>
      <c r="G9" s="373" t="s">
        <v>393</v>
      </c>
      <c r="H9" s="372" t="s">
        <v>393</v>
      </c>
      <c r="I9" s="371" t="s">
        <v>393</v>
      </c>
      <c r="J9" s="373" t="s">
        <v>393</v>
      </c>
      <c r="K9" s="372" t="s">
        <v>393</v>
      </c>
      <c r="L9" s="371" t="s">
        <v>393</v>
      </c>
      <c r="M9" s="372" t="s">
        <v>393</v>
      </c>
      <c r="N9" s="371" t="s">
        <v>393</v>
      </c>
      <c r="O9" s="373" t="s">
        <v>393</v>
      </c>
      <c r="P9" s="372" t="s">
        <v>393</v>
      </c>
      <c r="Q9" s="371" t="s">
        <v>393</v>
      </c>
      <c r="R9" s="373" t="s">
        <v>393</v>
      </c>
      <c r="S9" s="372" t="s">
        <v>393</v>
      </c>
      <c r="T9" s="371" t="s">
        <v>393</v>
      </c>
      <c r="U9" s="373" t="s">
        <v>393</v>
      </c>
      <c r="V9" s="373" t="s">
        <v>392</v>
      </c>
      <c r="W9" s="373" t="s">
        <v>392</v>
      </c>
      <c r="X9" s="372" t="s">
        <v>392</v>
      </c>
      <c r="Y9" s="371" t="s">
        <v>393</v>
      </c>
      <c r="Z9" s="372" t="s">
        <v>393</v>
      </c>
      <c r="AA9" s="374" t="s">
        <v>393</v>
      </c>
      <c r="AB9" s="372" t="s">
        <v>393</v>
      </c>
      <c r="AC9" s="211"/>
      <c r="AD9" s="221" t="str" cm="1">
        <f t="array" ref="AD9">IF(OR(Q9:S9="Std"),"Std",IF(OR(Q9:S9="Opt1",Q9:S9="Opt2"),"Opt","N/A"))</f>
        <v>Opt</v>
      </c>
      <c r="AE9" s="221" t="str">
        <f t="array" ref="AE9">IF(OR(T9:X9="Std"),"Std",IF(OR(T9:X9="Opt1",T9:X9="Opt2"),"Opt","N/A"))</f>
        <v>Std</v>
      </c>
      <c r="AF9" s="221" t="str">
        <f t="array" ref="AF9">IF(OR(Y9:Z9="Std"),"Std",IF(OR(Y9:Z9="Opt1",Y9:Z9="Opt2"),"Opt","N/A"))</f>
        <v>Opt</v>
      </c>
    </row>
    <row r="10" spans="1:32">
      <c r="A10" s="182"/>
      <c r="B10" s="298" t="s">
        <v>401</v>
      </c>
      <c r="C10" s="203" t="s">
        <v>402</v>
      </c>
      <c r="D10" s="371" t="s">
        <v>392</v>
      </c>
      <c r="E10" s="372" t="s">
        <v>392</v>
      </c>
      <c r="F10" s="371" t="s">
        <v>393</v>
      </c>
      <c r="G10" s="373" t="s">
        <v>393</v>
      </c>
      <c r="H10" s="372" t="s">
        <v>393</v>
      </c>
      <c r="I10" s="371" t="s">
        <v>393</v>
      </c>
      <c r="J10" s="373" t="s">
        <v>393</v>
      </c>
      <c r="K10" s="372" t="s">
        <v>393</v>
      </c>
      <c r="L10" s="371" t="s">
        <v>393</v>
      </c>
      <c r="M10" s="372" t="s">
        <v>393</v>
      </c>
      <c r="N10" s="371" t="s">
        <v>393</v>
      </c>
      <c r="O10" s="373" t="s">
        <v>393</v>
      </c>
      <c r="P10" s="372" t="s">
        <v>393</v>
      </c>
      <c r="Q10" s="371" t="s">
        <v>393</v>
      </c>
      <c r="R10" s="373" t="s">
        <v>393</v>
      </c>
      <c r="S10" s="372" t="s">
        <v>393</v>
      </c>
      <c r="T10" s="371" t="s">
        <v>393</v>
      </c>
      <c r="U10" s="373" t="s">
        <v>393</v>
      </c>
      <c r="V10" s="373" t="s">
        <v>392</v>
      </c>
      <c r="W10" s="373" t="s">
        <v>392</v>
      </c>
      <c r="X10" s="372" t="s">
        <v>392</v>
      </c>
      <c r="Y10" s="371" t="s">
        <v>393</v>
      </c>
      <c r="Z10" s="372" t="s">
        <v>393</v>
      </c>
      <c r="AA10" s="374" t="s">
        <v>393</v>
      </c>
      <c r="AB10" s="372" t="s">
        <v>393</v>
      </c>
      <c r="AC10" s="211"/>
      <c r="AD10" s="221" t="str" cm="1">
        <f t="array" ref="AD10">IF(OR(Q10:S10="Std"),"Std",IF(OR(Q10:S10="Opt1",Q10:S10="Opt2"),"Opt","N/A"))</f>
        <v>Opt</v>
      </c>
      <c r="AE10" s="221" t="str">
        <f t="array" ref="AE10">IF(OR(T10:X10="Std"),"Std",IF(OR(T10:X10="Opt1",T10:X10="Opt2"),"Opt","N/A"))</f>
        <v>Std</v>
      </c>
      <c r="AF10" s="221" t="str">
        <f t="array" ref="AF10">IF(OR(Y10:Z10="Std"),"Std",IF(OR(Y10:Z10="Opt1",Y10:Z10="Opt2"),"Opt","N/A"))</f>
        <v>Opt</v>
      </c>
    </row>
    <row r="11" spans="1:32">
      <c r="A11" s="182"/>
      <c r="B11" s="299" t="s">
        <v>403</v>
      </c>
      <c r="C11" s="212" t="s">
        <v>404</v>
      </c>
      <c r="D11" s="371" t="s">
        <v>392</v>
      </c>
      <c r="E11" s="372" t="s">
        <v>392</v>
      </c>
      <c r="F11" s="371" t="s">
        <v>393</v>
      </c>
      <c r="G11" s="373" t="s">
        <v>393</v>
      </c>
      <c r="H11" s="372" t="s">
        <v>393</v>
      </c>
      <c r="I11" s="371" t="s">
        <v>393</v>
      </c>
      <c r="J11" s="373" t="s">
        <v>393</v>
      </c>
      <c r="K11" s="372" t="s">
        <v>393</v>
      </c>
      <c r="L11" s="371" t="s">
        <v>393</v>
      </c>
      <c r="M11" s="372" t="s">
        <v>393</v>
      </c>
      <c r="N11" s="371" t="s">
        <v>393</v>
      </c>
      <c r="O11" s="373" t="s">
        <v>393</v>
      </c>
      <c r="P11" s="372" t="s">
        <v>393</v>
      </c>
      <c r="Q11" s="371" t="s">
        <v>393</v>
      </c>
      <c r="R11" s="373" t="s">
        <v>393</v>
      </c>
      <c r="S11" s="372" t="s">
        <v>393</v>
      </c>
      <c r="T11" s="371" t="s">
        <v>393</v>
      </c>
      <c r="U11" s="373" t="s">
        <v>393</v>
      </c>
      <c r="V11" s="373" t="s">
        <v>392</v>
      </c>
      <c r="W11" s="373" t="s">
        <v>392</v>
      </c>
      <c r="X11" s="372" t="s">
        <v>392</v>
      </c>
      <c r="Y11" s="371" t="s">
        <v>393</v>
      </c>
      <c r="Z11" s="372" t="s">
        <v>393</v>
      </c>
      <c r="AA11" s="374" t="s">
        <v>393</v>
      </c>
      <c r="AB11" s="372" t="s">
        <v>393</v>
      </c>
      <c r="AC11" s="213"/>
      <c r="AD11" s="221" t="str" cm="1">
        <f t="array" ref="AD11">IF(OR(Q11:S11="Std"),"Std",IF(OR(Q11:S11="Opt1",Q11:S11="Opt2"),"Opt","N/A"))</f>
        <v>Opt</v>
      </c>
      <c r="AE11" s="221" t="str">
        <f t="array" ref="AE11">IF(OR(T11:X11="Std"),"Std",IF(OR(T11:X11="Opt1",T11:X11="Opt2"),"Opt","N/A"))</f>
        <v>Std</v>
      </c>
      <c r="AF11" s="221" t="str">
        <f t="array" ref="AF11">IF(OR(Y11:Z11="Std"),"Std",IF(OR(Y11:Z11="Opt1",Y11:Z11="Opt2"),"Opt","N/A"))</f>
        <v>Opt</v>
      </c>
    </row>
    <row r="12" spans="1:32">
      <c r="A12" s="182"/>
      <c r="B12" s="299" t="s">
        <v>405</v>
      </c>
      <c r="C12" s="212" t="s">
        <v>406</v>
      </c>
      <c r="D12" s="371" t="s">
        <v>392</v>
      </c>
      <c r="E12" s="372" t="s">
        <v>392</v>
      </c>
      <c r="F12" s="371" t="s">
        <v>393</v>
      </c>
      <c r="G12" s="373" t="s">
        <v>393</v>
      </c>
      <c r="H12" s="372" t="s">
        <v>393</v>
      </c>
      <c r="I12" s="371" t="s">
        <v>393</v>
      </c>
      <c r="J12" s="373" t="s">
        <v>393</v>
      </c>
      <c r="K12" s="372" t="s">
        <v>393</v>
      </c>
      <c r="L12" s="371" t="s">
        <v>393</v>
      </c>
      <c r="M12" s="372" t="s">
        <v>393</v>
      </c>
      <c r="N12" s="371" t="s">
        <v>393</v>
      </c>
      <c r="O12" s="373" t="s">
        <v>393</v>
      </c>
      <c r="P12" s="372" t="s">
        <v>393</v>
      </c>
      <c r="Q12" s="371" t="s">
        <v>393</v>
      </c>
      <c r="R12" s="373" t="s">
        <v>393</v>
      </c>
      <c r="S12" s="372" t="s">
        <v>393</v>
      </c>
      <c r="T12" s="371" t="s">
        <v>393</v>
      </c>
      <c r="U12" s="373" t="s">
        <v>393</v>
      </c>
      <c r="V12" s="373" t="s">
        <v>392</v>
      </c>
      <c r="W12" s="373" t="s">
        <v>392</v>
      </c>
      <c r="X12" s="372" t="s">
        <v>392</v>
      </c>
      <c r="Y12" s="371" t="s">
        <v>393</v>
      </c>
      <c r="Z12" s="372" t="s">
        <v>393</v>
      </c>
      <c r="AA12" s="374" t="s">
        <v>393</v>
      </c>
      <c r="AB12" s="372" t="s">
        <v>393</v>
      </c>
      <c r="AC12" s="213"/>
      <c r="AD12" s="221" t="str" cm="1">
        <f t="array" ref="AD12">IF(OR(Q12:S12="Std"),"Std",IF(OR(Q12:S12="Opt1",Q12:S12="Opt2"),"Opt","N/A"))</f>
        <v>Opt</v>
      </c>
      <c r="AE12" s="221" t="str">
        <f t="array" ref="AE12">IF(OR(T12:X12="Std"),"Std",IF(OR(T12:X12="Opt1",T12:X12="Opt2"),"Opt","N/A"))</f>
        <v>Std</v>
      </c>
      <c r="AF12" s="221" t="str">
        <f t="array" ref="AF12">IF(OR(Y12:Z12="Std"),"Std",IF(OR(Y12:Z12="Opt1",Y12:Z12="Opt2"),"Opt","N/A"))</f>
        <v>Opt</v>
      </c>
    </row>
    <row r="13" spans="1:32">
      <c r="A13" s="182"/>
      <c r="B13" s="299" t="s">
        <v>407</v>
      </c>
      <c r="C13" s="212" t="s">
        <v>408</v>
      </c>
      <c r="D13" s="371" t="s">
        <v>392</v>
      </c>
      <c r="E13" s="372" t="s">
        <v>392</v>
      </c>
      <c r="F13" s="371" t="s">
        <v>393</v>
      </c>
      <c r="G13" s="373" t="s">
        <v>393</v>
      </c>
      <c r="H13" s="372" t="s">
        <v>393</v>
      </c>
      <c r="I13" s="371" t="s">
        <v>393</v>
      </c>
      <c r="J13" s="373" t="s">
        <v>393</v>
      </c>
      <c r="K13" s="372" t="s">
        <v>393</v>
      </c>
      <c r="L13" s="371" t="s">
        <v>393</v>
      </c>
      <c r="M13" s="372" t="s">
        <v>393</v>
      </c>
      <c r="N13" s="371" t="s">
        <v>393</v>
      </c>
      <c r="O13" s="373" t="s">
        <v>393</v>
      </c>
      <c r="P13" s="372" t="s">
        <v>393</v>
      </c>
      <c r="Q13" s="371" t="s">
        <v>393</v>
      </c>
      <c r="R13" s="373" t="s">
        <v>393</v>
      </c>
      <c r="S13" s="372" t="s">
        <v>393</v>
      </c>
      <c r="T13" s="371" t="s">
        <v>393</v>
      </c>
      <c r="U13" s="373" t="s">
        <v>393</v>
      </c>
      <c r="V13" s="373" t="s">
        <v>392</v>
      </c>
      <c r="W13" s="373" t="s">
        <v>392</v>
      </c>
      <c r="X13" s="372" t="s">
        <v>392</v>
      </c>
      <c r="Y13" s="371" t="s">
        <v>393</v>
      </c>
      <c r="Z13" s="372" t="s">
        <v>393</v>
      </c>
      <c r="AA13" s="374" t="s">
        <v>393</v>
      </c>
      <c r="AB13" s="372" t="s">
        <v>393</v>
      </c>
      <c r="AC13" s="214"/>
      <c r="AD13" s="221" t="str" cm="1">
        <f t="array" ref="AD13">IF(OR(Q13:S13="Std"),"Std",IF(OR(Q13:S13="Opt1",Q13:S13="Opt2"),"Opt","N/A"))</f>
        <v>Opt</v>
      </c>
      <c r="AE13" s="221" t="str">
        <f t="array" ref="AE13">IF(OR(T13:X13="Std"),"Std",IF(OR(T13:X13="Opt1",T13:X13="Opt2"),"Opt","N/A"))</f>
        <v>Std</v>
      </c>
      <c r="AF13" s="221" t="str">
        <f t="array" ref="AF13">IF(OR(Y13:Z13="Std"),"Std",IF(OR(Y13:Z13="Opt1",Y13:Z13="Opt2"),"Opt","N/A"))</f>
        <v>Opt</v>
      </c>
    </row>
    <row r="14" spans="1:32">
      <c r="A14" s="182"/>
      <c r="B14" s="299" t="s">
        <v>409</v>
      </c>
      <c r="C14" s="212" t="s">
        <v>410</v>
      </c>
      <c r="D14" s="371" t="s">
        <v>392</v>
      </c>
      <c r="E14" s="372" t="s">
        <v>392</v>
      </c>
      <c r="F14" s="371" t="s">
        <v>393</v>
      </c>
      <c r="G14" s="373" t="s">
        <v>393</v>
      </c>
      <c r="H14" s="372" t="s">
        <v>393</v>
      </c>
      <c r="I14" s="371" t="s">
        <v>393</v>
      </c>
      <c r="J14" s="373" t="s">
        <v>393</v>
      </c>
      <c r="K14" s="372" t="s">
        <v>393</v>
      </c>
      <c r="L14" s="371" t="s">
        <v>393</v>
      </c>
      <c r="M14" s="372" t="s">
        <v>393</v>
      </c>
      <c r="N14" s="371" t="s">
        <v>393</v>
      </c>
      <c r="O14" s="373" t="s">
        <v>393</v>
      </c>
      <c r="P14" s="372" t="s">
        <v>393</v>
      </c>
      <c r="Q14" s="371" t="s">
        <v>393</v>
      </c>
      <c r="R14" s="373" t="s">
        <v>393</v>
      </c>
      <c r="S14" s="372" t="s">
        <v>393</v>
      </c>
      <c r="T14" s="371" t="s">
        <v>393</v>
      </c>
      <c r="U14" s="373" t="s">
        <v>393</v>
      </c>
      <c r="V14" s="373" t="s">
        <v>392</v>
      </c>
      <c r="W14" s="373" t="s">
        <v>392</v>
      </c>
      <c r="X14" s="372" t="s">
        <v>392</v>
      </c>
      <c r="Y14" s="371" t="s">
        <v>393</v>
      </c>
      <c r="Z14" s="372" t="s">
        <v>393</v>
      </c>
      <c r="AA14" s="374" t="s">
        <v>393</v>
      </c>
      <c r="AB14" s="372" t="s">
        <v>393</v>
      </c>
      <c r="AC14" s="213"/>
      <c r="AD14" s="221" t="str" cm="1">
        <f t="array" ref="AD14">IF(OR(Q14:S14="Std"),"Std",IF(OR(Q14:S14="Opt1",Q14:S14="Opt2"),"Opt","N/A"))</f>
        <v>Opt</v>
      </c>
      <c r="AE14" s="221" t="str">
        <f t="array" ref="AE14">IF(OR(T14:X14="Std"),"Std",IF(OR(T14:X14="Opt1",T14:X14="Opt2"),"Opt","N/A"))</f>
        <v>Std</v>
      </c>
      <c r="AF14" s="221" t="str">
        <f t="array" ref="AF14">IF(OR(Y14:Z14="Std"),"Std",IF(OR(Y14:Z14="Opt1",Y14:Z14="Opt2"),"Opt","N/A"))</f>
        <v>Opt</v>
      </c>
    </row>
    <row r="15" spans="1:32">
      <c r="A15" s="182"/>
      <c r="B15" s="299" t="s">
        <v>181</v>
      </c>
      <c r="C15" s="212" t="s">
        <v>411</v>
      </c>
      <c r="D15" s="371" t="s">
        <v>392</v>
      </c>
      <c r="E15" s="372" t="s">
        <v>392</v>
      </c>
      <c r="F15" s="371" t="s">
        <v>393</v>
      </c>
      <c r="G15" s="373" t="s">
        <v>393</v>
      </c>
      <c r="H15" s="372" t="s">
        <v>393</v>
      </c>
      <c r="I15" s="371" t="s">
        <v>393</v>
      </c>
      <c r="J15" s="373" t="s">
        <v>393</v>
      </c>
      <c r="K15" s="372" t="s">
        <v>393</v>
      </c>
      <c r="L15" s="371" t="s">
        <v>393</v>
      </c>
      <c r="M15" s="372" t="s">
        <v>393</v>
      </c>
      <c r="N15" s="371" t="s">
        <v>393</v>
      </c>
      <c r="O15" s="373" t="s">
        <v>393</v>
      </c>
      <c r="P15" s="372" t="s">
        <v>393</v>
      </c>
      <c r="Q15" s="371" t="s">
        <v>393</v>
      </c>
      <c r="R15" s="373" t="s">
        <v>393</v>
      </c>
      <c r="S15" s="372" t="s">
        <v>393</v>
      </c>
      <c r="T15" s="371" t="s">
        <v>393</v>
      </c>
      <c r="U15" s="373" t="s">
        <v>393</v>
      </c>
      <c r="V15" s="373" t="s">
        <v>392</v>
      </c>
      <c r="W15" s="373" t="s">
        <v>392</v>
      </c>
      <c r="X15" s="372" t="s">
        <v>392</v>
      </c>
      <c r="Y15" s="371" t="s">
        <v>393</v>
      </c>
      <c r="Z15" s="372" t="s">
        <v>393</v>
      </c>
      <c r="AA15" s="374" t="s">
        <v>393</v>
      </c>
      <c r="AB15" s="372" t="s">
        <v>393</v>
      </c>
      <c r="AC15" s="213"/>
      <c r="AD15" s="221" t="str" cm="1">
        <f t="array" ref="AD15">IF(OR(Q15:S15="Std"),"Std",IF(OR(Q15:S15="Opt1",Q15:S15="Opt2"),"Opt","N/A"))</f>
        <v>Opt</v>
      </c>
      <c r="AE15" s="221" t="str">
        <f t="array" ref="AE15">IF(OR(T15:X15="Std"),"Std",IF(OR(T15:X15="Opt1",T15:X15="Opt2"),"Opt","N/A"))</f>
        <v>Std</v>
      </c>
      <c r="AF15" s="221" t="str">
        <f t="array" ref="AF15">IF(OR(Y15:Z15="Std"),"Std",IF(OR(Y15:Z15="Opt1",Y15:Z15="Opt2"),"Opt","N/A"))</f>
        <v>Opt</v>
      </c>
    </row>
    <row r="16" spans="1:32">
      <c r="A16" s="182"/>
      <c r="B16" s="299" t="s">
        <v>180</v>
      </c>
      <c r="C16" s="212" t="s">
        <v>412</v>
      </c>
      <c r="D16" s="371" t="s">
        <v>392</v>
      </c>
      <c r="E16" s="372" t="s">
        <v>392</v>
      </c>
      <c r="F16" s="371" t="s">
        <v>393</v>
      </c>
      <c r="G16" s="373" t="s">
        <v>393</v>
      </c>
      <c r="H16" s="372" t="s">
        <v>393</v>
      </c>
      <c r="I16" s="371" t="s">
        <v>393</v>
      </c>
      <c r="J16" s="373" t="s">
        <v>393</v>
      </c>
      <c r="K16" s="372" t="s">
        <v>393</v>
      </c>
      <c r="L16" s="371" t="s">
        <v>393</v>
      </c>
      <c r="M16" s="372" t="s">
        <v>393</v>
      </c>
      <c r="N16" s="371" t="s">
        <v>393</v>
      </c>
      <c r="O16" s="373" t="s">
        <v>393</v>
      </c>
      <c r="P16" s="372" t="s">
        <v>393</v>
      </c>
      <c r="Q16" s="371" t="s">
        <v>393</v>
      </c>
      <c r="R16" s="373" t="s">
        <v>393</v>
      </c>
      <c r="S16" s="372" t="s">
        <v>393</v>
      </c>
      <c r="T16" s="371" t="s">
        <v>393</v>
      </c>
      <c r="U16" s="373" t="s">
        <v>393</v>
      </c>
      <c r="V16" s="373" t="s">
        <v>392</v>
      </c>
      <c r="W16" s="373" t="s">
        <v>392</v>
      </c>
      <c r="X16" s="372" t="s">
        <v>392</v>
      </c>
      <c r="Y16" s="371" t="s">
        <v>393</v>
      </c>
      <c r="Z16" s="372" t="s">
        <v>393</v>
      </c>
      <c r="AA16" s="374" t="s">
        <v>393</v>
      </c>
      <c r="AB16" s="372" t="s">
        <v>393</v>
      </c>
      <c r="AC16" s="213"/>
      <c r="AD16" s="221" t="str" cm="1">
        <f t="array" ref="AD16">IF(OR(Q16:S16="Std"),"Std",IF(OR(Q16:S16="Opt1",Q16:S16="Opt2"),"Opt","N/A"))</f>
        <v>Opt</v>
      </c>
      <c r="AE16" s="221" t="str">
        <f t="array" ref="AE16">IF(OR(T16:X16="Std"),"Std",IF(OR(T16:X16="Opt1",T16:X16="Opt2"),"Opt","N/A"))</f>
        <v>Std</v>
      </c>
      <c r="AF16" s="221" t="str">
        <f t="array" ref="AF16">IF(OR(Y16:Z16="Std"),"Std",IF(OR(Y16:Z16="Opt1",Y16:Z16="Opt2"),"Opt","N/A"))</f>
        <v>Opt</v>
      </c>
    </row>
    <row r="17" spans="1:32">
      <c r="A17" s="182"/>
      <c r="B17" s="299" t="s">
        <v>413</v>
      </c>
      <c r="C17" s="212" t="s">
        <v>414</v>
      </c>
      <c r="D17" s="371" t="s">
        <v>392</v>
      </c>
      <c r="E17" s="372" t="s">
        <v>392</v>
      </c>
      <c r="F17" s="371" t="s">
        <v>393</v>
      </c>
      <c r="G17" s="373" t="s">
        <v>393</v>
      </c>
      <c r="H17" s="372" t="s">
        <v>393</v>
      </c>
      <c r="I17" s="371" t="s">
        <v>393</v>
      </c>
      <c r="J17" s="373" t="s">
        <v>393</v>
      </c>
      <c r="K17" s="372" t="s">
        <v>393</v>
      </c>
      <c r="L17" s="371" t="s">
        <v>393</v>
      </c>
      <c r="M17" s="372" t="s">
        <v>393</v>
      </c>
      <c r="N17" s="371" t="s">
        <v>393</v>
      </c>
      <c r="O17" s="373" t="s">
        <v>393</v>
      </c>
      <c r="P17" s="372" t="s">
        <v>393</v>
      </c>
      <c r="Q17" s="371" t="s">
        <v>393</v>
      </c>
      <c r="R17" s="373" t="s">
        <v>393</v>
      </c>
      <c r="S17" s="372" t="s">
        <v>393</v>
      </c>
      <c r="T17" s="371" t="s">
        <v>393</v>
      </c>
      <c r="U17" s="373" t="s">
        <v>393</v>
      </c>
      <c r="V17" s="373" t="s">
        <v>392</v>
      </c>
      <c r="W17" s="373" t="s">
        <v>392</v>
      </c>
      <c r="X17" s="372" t="s">
        <v>392</v>
      </c>
      <c r="Y17" s="371" t="s">
        <v>393</v>
      </c>
      <c r="Z17" s="372" t="s">
        <v>393</v>
      </c>
      <c r="AA17" s="374" t="s">
        <v>393</v>
      </c>
      <c r="AB17" s="372" t="s">
        <v>393</v>
      </c>
      <c r="AC17" s="214"/>
      <c r="AD17" s="221" t="str" cm="1">
        <f t="array" ref="AD17">IF(OR(Q17:S17="Std"),"Std",IF(OR(Q17:S17="Opt1",Q17:S17="Opt2"),"Opt","N/A"))</f>
        <v>Opt</v>
      </c>
      <c r="AE17" s="221" t="str">
        <f t="array" ref="AE17">IF(OR(T17:X17="Std"),"Std",IF(OR(T17:X17="Opt1",T17:X17="Opt2"),"Opt","N/A"))</f>
        <v>Std</v>
      </c>
      <c r="AF17" s="221" t="str">
        <f t="array" ref="AF17">IF(OR(Y17:Z17="Std"),"Std",IF(OR(Y17:Z17="Opt1",Y17:Z17="Opt2"),"Opt","N/A"))</f>
        <v>Opt</v>
      </c>
    </row>
    <row r="18" spans="1:32">
      <c r="A18" s="182"/>
      <c r="B18" s="299" t="s">
        <v>415</v>
      </c>
      <c r="C18" s="212" t="s">
        <v>416</v>
      </c>
      <c r="D18" s="371" t="s">
        <v>392</v>
      </c>
      <c r="E18" s="372" t="s">
        <v>392</v>
      </c>
      <c r="F18" s="371" t="s">
        <v>393</v>
      </c>
      <c r="G18" s="373" t="s">
        <v>393</v>
      </c>
      <c r="H18" s="372" t="s">
        <v>393</v>
      </c>
      <c r="I18" s="371" t="s">
        <v>393</v>
      </c>
      <c r="J18" s="373" t="s">
        <v>393</v>
      </c>
      <c r="K18" s="372" t="s">
        <v>393</v>
      </c>
      <c r="L18" s="371" t="s">
        <v>393</v>
      </c>
      <c r="M18" s="372" t="s">
        <v>393</v>
      </c>
      <c r="N18" s="371" t="s">
        <v>393</v>
      </c>
      <c r="O18" s="373" t="s">
        <v>393</v>
      </c>
      <c r="P18" s="372" t="s">
        <v>393</v>
      </c>
      <c r="Q18" s="371" t="s">
        <v>393</v>
      </c>
      <c r="R18" s="373" t="s">
        <v>393</v>
      </c>
      <c r="S18" s="372" t="s">
        <v>393</v>
      </c>
      <c r="T18" s="371" t="s">
        <v>393</v>
      </c>
      <c r="U18" s="373" t="s">
        <v>393</v>
      </c>
      <c r="V18" s="373" t="s">
        <v>392</v>
      </c>
      <c r="W18" s="373" t="s">
        <v>392</v>
      </c>
      <c r="X18" s="372" t="s">
        <v>392</v>
      </c>
      <c r="Y18" s="371" t="s">
        <v>393</v>
      </c>
      <c r="Z18" s="372" t="s">
        <v>393</v>
      </c>
      <c r="AA18" s="374" t="s">
        <v>393</v>
      </c>
      <c r="AB18" s="372" t="s">
        <v>393</v>
      </c>
      <c r="AC18" s="214"/>
      <c r="AD18" s="221" t="str" cm="1">
        <f t="array" ref="AD18">IF(OR(Q18:S18="Std"),"Std",IF(OR(Q18:S18="Opt1",Q18:S18="Opt2"),"Opt","N/A"))</f>
        <v>Opt</v>
      </c>
      <c r="AE18" s="221" t="str">
        <f t="array" ref="AE18">IF(OR(T18:X18="Std"),"Std",IF(OR(T18:X18="Opt1",T18:X18="Opt2"),"Opt","N/A"))</f>
        <v>Std</v>
      </c>
      <c r="AF18" s="221" t="str">
        <f t="array" ref="AF18">IF(OR(Y18:Z18="Std"),"Std",IF(OR(Y18:Z18="Opt1",Y18:Z18="Opt2"),"Opt","N/A"))</f>
        <v>Opt</v>
      </c>
    </row>
    <row r="19" spans="1:32">
      <c r="A19" s="182"/>
      <c r="B19" s="299" t="s">
        <v>417</v>
      </c>
      <c r="C19" s="212" t="s">
        <v>418</v>
      </c>
      <c r="D19" s="371" t="s">
        <v>392</v>
      </c>
      <c r="E19" s="372" t="s">
        <v>392</v>
      </c>
      <c r="F19" s="371" t="s">
        <v>393</v>
      </c>
      <c r="G19" s="373" t="s">
        <v>393</v>
      </c>
      <c r="H19" s="372" t="s">
        <v>393</v>
      </c>
      <c r="I19" s="371" t="s">
        <v>393</v>
      </c>
      <c r="J19" s="373" t="s">
        <v>393</v>
      </c>
      <c r="K19" s="372" t="s">
        <v>393</v>
      </c>
      <c r="L19" s="371" t="s">
        <v>393</v>
      </c>
      <c r="M19" s="372" t="s">
        <v>393</v>
      </c>
      <c r="N19" s="371" t="s">
        <v>393</v>
      </c>
      <c r="O19" s="373" t="s">
        <v>393</v>
      </c>
      <c r="P19" s="372" t="s">
        <v>393</v>
      </c>
      <c r="Q19" s="371" t="s">
        <v>393</v>
      </c>
      <c r="R19" s="373" t="s">
        <v>393</v>
      </c>
      <c r="S19" s="372" t="s">
        <v>393</v>
      </c>
      <c r="T19" s="371" t="s">
        <v>393</v>
      </c>
      <c r="U19" s="373" t="s">
        <v>393</v>
      </c>
      <c r="V19" s="373" t="s">
        <v>392</v>
      </c>
      <c r="W19" s="373" t="s">
        <v>392</v>
      </c>
      <c r="X19" s="372" t="s">
        <v>392</v>
      </c>
      <c r="Y19" s="371" t="s">
        <v>393</v>
      </c>
      <c r="Z19" s="372" t="s">
        <v>393</v>
      </c>
      <c r="AA19" s="374" t="s">
        <v>393</v>
      </c>
      <c r="AB19" s="372" t="s">
        <v>393</v>
      </c>
      <c r="AC19" s="214"/>
      <c r="AD19" s="221" t="str" cm="1">
        <f t="array" ref="AD19">IF(OR(Q19:S19="Std"),"Std",IF(OR(Q19:S19="Opt1",Q19:S19="Opt2"),"Opt","N/A"))</f>
        <v>Opt</v>
      </c>
      <c r="AE19" s="221" t="str">
        <f t="array" ref="AE19">IF(OR(T19:X19="Std"),"Std",IF(OR(T19:X19="Opt1",T19:X19="Opt2"),"Opt","N/A"))</f>
        <v>Std</v>
      </c>
      <c r="AF19" s="221" t="str">
        <f t="array" ref="AF19">IF(OR(Y19:Z19="Std"),"Std",IF(OR(Y19:Z19="Opt1",Y19:Z19="Opt2"),"Opt","N/A"))</f>
        <v>Opt</v>
      </c>
    </row>
    <row r="20" spans="1:32">
      <c r="A20" s="182"/>
      <c r="B20" s="300" t="s">
        <v>182</v>
      </c>
      <c r="C20" s="215" t="s">
        <v>419</v>
      </c>
      <c r="D20" s="371" t="s">
        <v>392</v>
      </c>
      <c r="E20" s="372" t="s">
        <v>392</v>
      </c>
      <c r="F20" s="371" t="s">
        <v>393</v>
      </c>
      <c r="G20" s="373" t="s">
        <v>393</v>
      </c>
      <c r="H20" s="372" t="s">
        <v>393</v>
      </c>
      <c r="I20" s="371" t="s">
        <v>393</v>
      </c>
      <c r="J20" s="373" t="s">
        <v>393</v>
      </c>
      <c r="K20" s="372" t="s">
        <v>393</v>
      </c>
      <c r="L20" s="371" t="s">
        <v>393</v>
      </c>
      <c r="M20" s="372" t="s">
        <v>393</v>
      </c>
      <c r="N20" s="371" t="s">
        <v>393</v>
      </c>
      <c r="O20" s="373" t="s">
        <v>393</v>
      </c>
      <c r="P20" s="372" t="s">
        <v>393</v>
      </c>
      <c r="Q20" s="371" t="s">
        <v>393</v>
      </c>
      <c r="R20" s="373" t="s">
        <v>393</v>
      </c>
      <c r="S20" s="372" t="s">
        <v>393</v>
      </c>
      <c r="T20" s="371" t="s">
        <v>393</v>
      </c>
      <c r="U20" s="373" t="s">
        <v>393</v>
      </c>
      <c r="V20" s="373" t="s">
        <v>392</v>
      </c>
      <c r="W20" s="373" t="s">
        <v>392</v>
      </c>
      <c r="X20" s="372" t="s">
        <v>392</v>
      </c>
      <c r="Y20" s="371" t="s">
        <v>393</v>
      </c>
      <c r="Z20" s="372" t="s">
        <v>393</v>
      </c>
      <c r="AA20" s="374" t="s">
        <v>393</v>
      </c>
      <c r="AB20" s="372" t="s">
        <v>393</v>
      </c>
      <c r="AC20" s="216"/>
      <c r="AD20" s="221" t="str" cm="1">
        <f t="array" ref="AD20">IF(OR(Q20:S20="Std"),"Std",IF(OR(Q20:S20="Opt1",Q20:S20="Opt2"),"Opt","N/A"))</f>
        <v>Opt</v>
      </c>
      <c r="AE20" s="221" t="str">
        <f t="array" ref="AE20">IF(OR(T20:X20="Std"),"Std",IF(OR(T20:X20="Opt1",T20:X20="Opt2"),"Opt","N/A"))</f>
        <v>Std</v>
      </c>
      <c r="AF20" s="221" t="str">
        <f t="array" ref="AF20">IF(OR(Y20:Z20="Std"),"Std",IF(OR(Y20:Z20="Opt1",Y20:Z20="Opt2"),"Opt","N/A"))</f>
        <v>Opt</v>
      </c>
    </row>
    <row r="21" spans="1:32">
      <c r="A21" s="182"/>
      <c r="B21" s="299" t="s">
        <v>420</v>
      </c>
      <c r="C21" s="212" t="s">
        <v>421</v>
      </c>
      <c r="D21" s="371" t="s">
        <v>392</v>
      </c>
      <c r="E21" s="372" t="s">
        <v>392</v>
      </c>
      <c r="F21" s="371" t="s">
        <v>393</v>
      </c>
      <c r="G21" s="373" t="s">
        <v>393</v>
      </c>
      <c r="H21" s="372" t="s">
        <v>393</v>
      </c>
      <c r="I21" s="371" t="s">
        <v>393</v>
      </c>
      <c r="J21" s="373" t="s">
        <v>393</v>
      </c>
      <c r="K21" s="372" t="s">
        <v>393</v>
      </c>
      <c r="L21" s="371" t="s">
        <v>393</v>
      </c>
      <c r="M21" s="372" t="s">
        <v>393</v>
      </c>
      <c r="N21" s="371" t="s">
        <v>393</v>
      </c>
      <c r="O21" s="373" t="s">
        <v>393</v>
      </c>
      <c r="P21" s="372" t="s">
        <v>393</v>
      </c>
      <c r="Q21" s="371" t="s">
        <v>393</v>
      </c>
      <c r="R21" s="373" t="s">
        <v>393</v>
      </c>
      <c r="S21" s="372" t="s">
        <v>393</v>
      </c>
      <c r="T21" s="371" t="s">
        <v>393</v>
      </c>
      <c r="U21" s="373" t="s">
        <v>393</v>
      </c>
      <c r="V21" s="373" t="s">
        <v>392</v>
      </c>
      <c r="W21" s="373" t="s">
        <v>392</v>
      </c>
      <c r="X21" s="372" t="s">
        <v>392</v>
      </c>
      <c r="Y21" s="371" t="s">
        <v>393</v>
      </c>
      <c r="Z21" s="372" t="s">
        <v>393</v>
      </c>
      <c r="AA21" s="374" t="s">
        <v>393</v>
      </c>
      <c r="AB21" s="372" t="s">
        <v>393</v>
      </c>
      <c r="AC21" s="214"/>
      <c r="AD21" s="221" t="str" cm="1">
        <f t="array" ref="AD21">IF(OR(Q21:S21="Std"),"Std",IF(OR(Q21:S21="Opt1",Q21:S21="Opt2"),"Opt","N/A"))</f>
        <v>Opt</v>
      </c>
      <c r="AE21" s="221" t="str">
        <f t="array" ref="AE21">IF(OR(T21:X21="Std"),"Std",IF(OR(T21:X21="Opt1",T21:X21="Opt2"),"Opt","N/A"))</f>
        <v>Std</v>
      </c>
      <c r="AF21" s="221" t="str">
        <f t="array" ref="AF21">IF(OR(Y21:Z21="Std"),"Std",IF(OR(Y21:Z21="Opt1",Y21:Z21="Opt2"),"Opt","N/A"))</f>
        <v>Opt</v>
      </c>
    </row>
    <row r="22" spans="1:32">
      <c r="A22" s="182"/>
      <c r="B22" s="299" t="s">
        <v>422</v>
      </c>
      <c r="C22" s="212" t="s">
        <v>423</v>
      </c>
      <c r="D22" s="371" t="s">
        <v>392</v>
      </c>
      <c r="E22" s="372" t="s">
        <v>392</v>
      </c>
      <c r="F22" s="371" t="s">
        <v>393</v>
      </c>
      <c r="G22" s="373" t="s">
        <v>393</v>
      </c>
      <c r="H22" s="372" t="s">
        <v>393</v>
      </c>
      <c r="I22" s="371" t="s">
        <v>393</v>
      </c>
      <c r="J22" s="373" t="s">
        <v>393</v>
      </c>
      <c r="K22" s="372" t="s">
        <v>393</v>
      </c>
      <c r="L22" s="371" t="s">
        <v>393</v>
      </c>
      <c r="M22" s="372" t="s">
        <v>393</v>
      </c>
      <c r="N22" s="371" t="s">
        <v>393</v>
      </c>
      <c r="O22" s="373" t="s">
        <v>393</v>
      </c>
      <c r="P22" s="372" t="s">
        <v>393</v>
      </c>
      <c r="Q22" s="371" t="s">
        <v>393</v>
      </c>
      <c r="R22" s="373" t="s">
        <v>393</v>
      </c>
      <c r="S22" s="372" t="s">
        <v>393</v>
      </c>
      <c r="T22" s="371" t="s">
        <v>393</v>
      </c>
      <c r="U22" s="373" t="s">
        <v>393</v>
      </c>
      <c r="V22" s="373" t="s">
        <v>392</v>
      </c>
      <c r="W22" s="373" t="s">
        <v>392</v>
      </c>
      <c r="X22" s="372" t="s">
        <v>392</v>
      </c>
      <c r="Y22" s="371" t="s">
        <v>393</v>
      </c>
      <c r="Z22" s="372" t="s">
        <v>393</v>
      </c>
      <c r="AA22" s="374" t="s">
        <v>393</v>
      </c>
      <c r="AB22" s="372" t="s">
        <v>393</v>
      </c>
      <c r="AC22" s="214"/>
      <c r="AD22" s="221" t="str" cm="1">
        <f t="array" ref="AD22">IF(OR(Q22:S22="Std"),"Std",IF(OR(Q22:S22="Opt1",Q22:S22="Opt2"),"Opt","N/A"))</f>
        <v>Opt</v>
      </c>
      <c r="AE22" s="221" t="str">
        <f t="array" ref="AE22">IF(OR(T22:X22="Std"),"Std",IF(OR(T22:X22="Opt1",T22:X22="Opt2"),"Opt","N/A"))</f>
        <v>Std</v>
      </c>
      <c r="AF22" s="221" t="str">
        <f t="array" ref="AF22">IF(OR(Y22:Z22="Std"),"Std",IF(OR(Y22:Z22="Opt1",Y22:Z22="Opt2"),"Opt","N/A"))</f>
        <v>Opt</v>
      </c>
    </row>
    <row r="23" spans="1:32">
      <c r="A23" s="182"/>
      <c r="B23" s="299" t="s">
        <v>186</v>
      </c>
      <c r="C23" s="212" t="s">
        <v>424</v>
      </c>
      <c r="D23" s="371" t="s">
        <v>392</v>
      </c>
      <c r="E23" s="372" t="s">
        <v>392</v>
      </c>
      <c r="F23" s="371" t="s">
        <v>393</v>
      </c>
      <c r="G23" s="373" t="s">
        <v>393</v>
      </c>
      <c r="H23" s="372" t="s">
        <v>393</v>
      </c>
      <c r="I23" s="371" t="s">
        <v>393</v>
      </c>
      <c r="J23" s="373" t="s">
        <v>393</v>
      </c>
      <c r="K23" s="372" t="s">
        <v>393</v>
      </c>
      <c r="L23" s="371" t="s">
        <v>393</v>
      </c>
      <c r="M23" s="372" t="s">
        <v>393</v>
      </c>
      <c r="N23" s="371" t="s">
        <v>393</v>
      </c>
      <c r="O23" s="373" t="s">
        <v>393</v>
      </c>
      <c r="P23" s="372" t="s">
        <v>393</v>
      </c>
      <c r="Q23" s="371" t="s">
        <v>393</v>
      </c>
      <c r="R23" s="373" t="s">
        <v>393</v>
      </c>
      <c r="S23" s="372" t="s">
        <v>393</v>
      </c>
      <c r="T23" s="371" t="s">
        <v>393</v>
      </c>
      <c r="U23" s="373" t="s">
        <v>393</v>
      </c>
      <c r="V23" s="373" t="s">
        <v>392</v>
      </c>
      <c r="W23" s="373" t="s">
        <v>392</v>
      </c>
      <c r="X23" s="372" t="s">
        <v>392</v>
      </c>
      <c r="Y23" s="371" t="s">
        <v>393</v>
      </c>
      <c r="Z23" s="372" t="s">
        <v>393</v>
      </c>
      <c r="AA23" s="374" t="s">
        <v>393</v>
      </c>
      <c r="AB23" s="372" t="s">
        <v>393</v>
      </c>
      <c r="AC23" s="214"/>
      <c r="AD23" s="221" t="str" cm="1">
        <f t="array" ref="AD23">IF(OR(Q23:S23="Std"),"Std",IF(OR(Q23:S23="Opt1",Q23:S23="Opt2"),"Opt","N/A"))</f>
        <v>Opt</v>
      </c>
      <c r="AE23" s="221" t="str">
        <f t="array" ref="AE23">IF(OR(T23:X23="Std"),"Std",IF(OR(T23:X23="Opt1",T23:X23="Opt2"),"Opt","N/A"))</f>
        <v>Std</v>
      </c>
      <c r="AF23" s="221" t="str">
        <f t="array" ref="AF23">IF(OR(Y23:Z23="Std"),"Std",IF(OR(Y23:Z23="Opt1",Y23:Z23="Opt2"),"Opt","N/A"))</f>
        <v>Opt</v>
      </c>
    </row>
    <row r="24" spans="1:32">
      <c r="A24" s="217"/>
      <c r="B24" s="299" t="s">
        <v>425</v>
      </c>
      <c r="C24" s="212" t="s">
        <v>426</v>
      </c>
      <c r="D24" s="371" t="s">
        <v>392</v>
      </c>
      <c r="E24" s="372" t="s">
        <v>392</v>
      </c>
      <c r="F24" s="371" t="s">
        <v>393</v>
      </c>
      <c r="G24" s="373" t="s">
        <v>393</v>
      </c>
      <c r="H24" s="372" t="s">
        <v>393</v>
      </c>
      <c r="I24" s="371" t="s">
        <v>393</v>
      </c>
      <c r="J24" s="373" t="s">
        <v>393</v>
      </c>
      <c r="K24" s="372" t="s">
        <v>393</v>
      </c>
      <c r="L24" s="371" t="s">
        <v>393</v>
      </c>
      <c r="M24" s="372" t="s">
        <v>393</v>
      </c>
      <c r="N24" s="371" t="s">
        <v>393</v>
      </c>
      <c r="O24" s="373" t="s">
        <v>393</v>
      </c>
      <c r="P24" s="372" t="s">
        <v>393</v>
      </c>
      <c r="Q24" s="371" t="s">
        <v>393</v>
      </c>
      <c r="R24" s="373" t="s">
        <v>393</v>
      </c>
      <c r="S24" s="372" t="s">
        <v>393</v>
      </c>
      <c r="T24" s="371" t="s">
        <v>393</v>
      </c>
      <c r="U24" s="373" t="s">
        <v>393</v>
      </c>
      <c r="V24" s="373" t="s">
        <v>392</v>
      </c>
      <c r="W24" s="373" t="s">
        <v>392</v>
      </c>
      <c r="X24" s="372" t="s">
        <v>392</v>
      </c>
      <c r="Y24" s="371" t="s">
        <v>393</v>
      </c>
      <c r="Z24" s="372" t="s">
        <v>393</v>
      </c>
      <c r="AA24" s="374" t="s">
        <v>393</v>
      </c>
      <c r="AB24" s="372" t="s">
        <v>393</v>
      </c>
      <c r="AC24" s="214"/>
      <c r="AD24" s="221" t="str" cm="1">
        <f t="array" ref="AD24">IF(OR(Q24:S24="Std"),"Std",IF(OR(Q24:S24="Opt1",Q24:S24="Opt2"),"Opt","N/A"))</f>
        <v>Opt</v>
      </c>
      <c r="AE24" s="221" t="str">
        <f t="array" ref="AE24">IF(OR(T24:X24="Std"),"Std",IF(OR(T24:X24="Opt1",T24:X24="Opt2"),"Opt","N/A"))</f>
        <v>Std</v>
      </c>
      <c r="AF24" s="221" t="str">
        <f t="array" ref="AF24">IF(OR(Y24:Z24="Std"),"Std",IF(OR(Y24:Z24="Opt1",Y24:Z24="Opt2"),"Opt","N/A"))</f>
        <v>Opt</v>
      </c>
    </row>
    <row r="25" spans="1:32">
      <c r="A25" s="217"/>
      <c r="B25" s="299" t="s">
        <v>427</v>
      </c>
      <c r="C25" s="212" t="s">
        <v>428</v>
      </c>
      <c r="D25" s="371" t="s">
        <v>392</v>
      </c>
      <c r="E25" s="372" t="s">
        <v>392</v>
      </c>
      <c r="F25" s="371" t="s">
        <v>393</v>
      </c>
      <c r="G25" s="373" t="s">
        <v>393</v>
      </c>
      <c r="H25" s="372" t="s">
        <v>393</v>
      </c>
      <c r="I25" s="371" t="s">
        <v>393</v>
      </c>
      <c r="J25" s="373" t="s">
        <v>393</v>
      </c>
      <c r="K25" s="372" t="s">
        <v>393</v>
      </c>
      <c r="L25" s="371" t="s">
        <v>393</v>
      </c>
      <c r="M25" s="372" t="s">
        <v>393</v>
      </c>
      <c r="N25" s="371" t="s">
        <v>393</v>
      </c>
      <c r="O25" s="373" t="s">
        <v>393</v>
      </c>
      <c r="P25" s="372" t="s">
        <v>393</v>
      </c>
      <c r="Q25" s="371" t="s">
        <v>393</v>
      </c>
      <c r="R25" s="373" t="s">
        <v>393</v>
      </c>
      <c r="S25" s="372" t="s">
        <v>393</v>
      </c>
      <c r="T25" s="371" t="s">
        <v>393</v>
      </c>
      <c r="U25" s="373" t="s">
        <v>393</v>
      </c>
      <c r="V25" s="373" t="s">
        <v>392</v>
      </c>
      <c r="W25" s="373" t="s">
        <v>392</v>
      </c>
      <c r="X25" s="372" t="s">
        <v>392</v>
      </c>
      <c r="Y25" s="371" t="s">
        <v>393</v>
      </c>
      <c r="Z25" s="372" t="s">
        <v>393</v>
      </c>
      <c r="AA25" s="374" t="s">
        <v>393</v>
      </c>
      <c r="AB25" s="372" t="s">
        <v>393</v>
      </c>
      <c r="AC25" s="214"/>
      <c r="AD25" s="221" t="str" cm="1">
        <f t="array" ref="AD25">IF(OR(Q25:S25="Std"),"Std",IF(OR(Q25:S25="Opt1",Q25:S25="Opt2"),"Opt","N/A"))</f>
        <v>Opt</v>
      </c>
      <c r="AE25" s="221" t="str">
        <f t="array" ref="AE25">IF(OR(T25:X25="Std"),"Std",IF(OR(T25:X25="Opt1",T25:X25="Opt2"),"Opt","N/A"))</f>
        <v>Std</v>
      </c>
      <c r="AF25" s="221" t="str">
        <f t="array" ref="AF25">IF(OR(Y25:Z25="Std"),"Std",IF(OR(Y25:Z25="Opt1",Y25:Z25="Opt2"),"Opt","N/A"))</f>
        <v>Opt</v>
      </c>
    </row>
    <row r="26" spans="1:32">
      <c r="A26" s="217"/>
      <c r="B26" s="388" t="s">
        <v>823</v>
      </c>
      <c r="C26" s="389" t="s">
        <v>205</v>
      </c>
      <c r="D26" s="371" t="s">
        <v>392</v>
      </c>
      <c r="E26" s="372" t="s">
        <v>392</v>
      </c>
      <c r="F26" s="371" t="s">
        <v>393</v>
      </c>
      <c r="G26" s="373" t="s">
        <v>393</v>
      </c>
      <c r="H26" s="372" t="s">
        <v>393</v>
      </c>
      <c r="I26" s="371" t="s">
        <v>393</v>
      </c>
      <c r="J26" s="373" t="s">
        <v>393</v>
      </c>
      <c r="K26" s="372" t="s">
        <v>393</v>
      </c>
      <c r="L26" s="371" t="s">
        <v>393</v>
      </c>
      <c r="M26" s="372" t="s">
        <v>393</v>
      </c>
      <c r="N26" s="371" t="s">
        <v>393</v>
      </c>
      <c r="O26" s="373" t="s">
        <v>393</v>
      </c>
      <c r="P26" s="372" t="s">
        <v>393</v>
      </c>
      <c r="Q26" s="371" t="s">
        <v>393</v>
      </c>
      <c r="R26" s="373" t="s">
        <v>393</v>
      </c>
      <c r="S26" s="372" t="s">
        <v>393</v>
      </c>
      <c r="T26" s="371" t="s">
        <v>393</v>
      </c>
      <c r="U26" s="373" t="s">
        <v>393</v>
      </c>
      <c r="V26" s="373" t="s">
        <v>392</v>
      </c>
      <c r="W26" s="373" t="s">
        <v>392</v>
      </c>
      <c r="X26" s="372" t="s">
        <v>392</v>
      </c>
      <c r="Y26" s="371" t="s">
        <v>393</v>
      </c>
      <c r="Z26" s="372" t="s">
        <v>393</v>
      </c>
      <c r="AA26" s="374" t="s">
        <v>393</v>
      </c>
      <c r="AB26" s="372" t="s">
        <v>393</v>
      </c>
      <c r="AC26" s="390"/>
      <c r="AD26" s="221" t="str" cm="1">
        <f t="array" ref="AD26">IF(OR(Q26:S26="Std"),"Std",IF(OR(Q26:S26="Opt1",Q26:S26="Opt2"),"Opt","N/A"))</f>
        <v>Opt</v>
      </c>
      <c r="AE26" s="221" t="str">
        <f t="array" ref="AE26">IF(OR(T26:X26="Std"),"Std",IF(OR(T26:X26="Opt1",T26:X26="Opt2"),"Opt","N/A"))</f>
        <v>Std</v>
      </c>
      <c r="AF26" s="221" t="str">
        <f t="array" ref="AF26">IF(OR(Y26:Z26="Std"),"Std",IF(OR(Y26:Z26="Opt1",Y26:Z26="Opt2"),"Opt","N/A"))</f>
        <v>Opt</v>
      </c>
    </row>
    <row r="27" spans="1:32">
      <c r="A27" s="217"/>
      <c r="B27" s="299" t="s">
        <v>429</v>
      </c>
      <c r="C27" s="212" t="s">
        <v>430</v>
      </c>
      <c r="D27" s="371" t="s">
        <v>392</v>
      </c>
      <c r="E27" s="372" t="s">
        <v>392</v>
      </c>
      <c r="F27" s="371" t="s">
        <v>393</v>
      </c>
      <c r="G27" s="373" t="s">
        <v>393</v>
      </c>
      <c r="H27" s="372" t="s">
        <v>393</v>
      </c>
      <c r="I27" s="371" t="s">
        <v>393</v>
      </c>
      <c r="J27" s="373" t="s">
        <v>393</v>
      </c>
      <c r="K27" s="372" t="s">
        <v>393</v>
      </c>
      <c r="L27" s="371" t="s">
        <v>393</v>
      </c>
      <c r="M27" s="372" t="s">
        <v>393</v>
      </c>
      <c r="N27" s="371" t="s">
        <v>393</v>
      </c>
      <c r="O27" s="373" t="s">
        <v>393</v>
      </c>
      <c r="P27" s="372" t="s">
        <v>393</v>
      </c>
      <c r="Q27" s="371" t="s">
        <v>393</v>
      </c>
      <c r="R27" s="373" t="s">
        <v>393</v>
      </c>
      <c r="S27" s="372" t="s">
        <v>393</v>
      </c>
      <c r="T27" s="371" t="s">
        <v>393</v>
      </c>
      <c r="U27" s="373" t="s">
        <v>393</v>
      </c>
      <c r="V27" s="373" t="s">
        <v>392</v>
      </c>
      <c r="W27" s="373" t="s">
        <v>392</v>
      </c>
      <c r="X27" s="372" t="s">
        <v>392</v>
      </c>
      <c r="Y27" s="371" t="s">
        <v>393</v>
      </c>
      <c r="Z27" s="372" t="s">
        <v>393</v>
      </c>
      <c r="AA27" s="374" t="s">
        <v>393</v>
      </c>
      <c r="AB27" s="372" t="s">
        <v>393</v>
      </c>
      <c r="AC27" s="214"/>
      <c r="AD27" s="221" t="str" cm="1">
        <f t="array" ref="AD27">IF(OR(Q27:S27="Std"),"Std",IF(OR(Q27:S27="Opt1",Q27:S27="Opt2"),"Opt","N/A"))</f>
        <v>Opt</v>
      </c>
      <c r="AE27" s="221" t="str">
        <f t="array" ref="AE27">IF(OR(T27:X27="Std"),"Std",IF(OR(T27:X27="Opt1",T27:X27="Opt2"),"Opt","N/A"))</f>
        <v>Std</v>
      </c>
      <c r="AF27" s="221" t="str">
        <f t="array" ref="AF27">IF(OR(Y27:Z27="Std"),"Std",IF(OR(Y27:Z27="Opt1",Y27:Z27="Opt2"),"Opt","N/A"))</f>
        <v>Opt</v>
      </c>
    </row>
    <row r="28" spans="1:32">
      <c r="A28" s="217"/>
      <c r="B28" s="299" t="s">
        <v>431</v>
      </c>
      <c r="C28" s="212" t="s">
        <v>432</v>
      </c>
      <c r="D28" s="371" t="s">
        <v>392</v>
      </c>
      <c r="E28" s="372" t="s">
        <v>392</v>
      </c>
      <c r="F28" s="371" t="s">
        <v>393</v>
      </c>
      <c r="G28" s="373" t="s">
        <v>393</v>
      </c>
      <c r="H28" s="372" t="s">
        <v>393</v>
      </c>
      <c r="I28" s="371" t="s">
        <v>393</v>
      </c>
      <c r="J28" s="373" t="s">
        <v>393</v>
      </c>
      <c r="K28" s="372" t="s">
        <v>393</v>
      </c>
      <c r="L28" s="371" t="s">
        <v>393</v>
      </c>
      <c r="M28" s="372" t="s">
        <v>393</v>
      </c>
      <c r="N28" s="371" t="s">
        <v>393</v>
      </c>
      <c r="O28" s="373" t="s">
        <v>393</v>
      </c>
      <c r="P28" s="372" t="s">
        <v>393</v>
      </c>
      <c r="Q28" s="371" t="s">
        <v>393</v>
      </c>
      <c r="R28" s="373" t="s">
        <v>393</v>
      </c>
      <c r="S28" s="372" t="s">
        <v>393</v>
      </c>
      <c r="T28" s="371" t="s">
        <v>393</v>
      </c>
      <c r="U28" s="373" t="s">
        <v>393</v>
      </c>
      <c r="V28" s="373" t="s">
        <v>392</v>
      </c>
      <c r="W28" s="373" t="s">
        <v>392</v>
      </c>
      <c r="X28" s="372" t="s">
        <v>392</v>
      </c>
      <c r="Y28" s="371" t="s">
        <v>393</v>
      </c>
      <c r="Z28" s="372" t="s">
        <v>393</v>
      </c>
      <c r="AA28" s="374" t="s">
        <v>393</v>
      </c>
      <c r="AB28" s="372" t="s">
        <v>393</v>
      </c>
      <c r="AC28" s="214"/>
      <c r="AD28" s="221" t="str" cm="1">
        <f t="array" ref="AD28">IF(OR(Q28:S28="Std"),"Std",IF(OR(Q28:S28="Opt1",Q28:S28="Opt2"),"Opt","N/A"))</f>
        <v>Opt</v>
      </c>
      <c r="AE28" s="221" t="str">
        <f t="array" ref="AE28">IF(OR(T28:X28="Std"),"Std",IF(OR(T28:X28="Opt1",T28:X28="Opt2"),"Opt","N/A"))</f>
        <v>Std</v>
      </c>
      <c r="AF28" s="221" t="str">
        <f t="array" ref="AF28">IF(OR(Y28:Z28="Std"),"Std",IF(OR(Y28:Z28="Opt1",Y28:Z28="Opt2"),"Opt","N/A"))</f>
        <v>Opt</v>
      </c>
    </row>
    <row r="29" spans="1:32">
      <c r="A29" s="217"/>
      <c r="B29" s="299" t="s">
        <v>433</v>
      </c>
      <c r="C29" s="212" t="s">
        <v>434</v>
      </c>
      <c r="D29" s="371" t="s">
        <v>392</v>
      </c>
      <c r="E29" s="372" t="s">
        <v>392</v>
      </c>
      <c r="F29" s="371" t="s">
        <v>393</v>
      </c>
      <c r="G29" s="373" t="s">
        <v>393</v>
      </c>
      <c r="H29" s="372" t="s">
        <v>393</v>
      </c>
      <c r="I29" s="371" t="s">
        <v>393</v>
      </c>
      <c r="J29" s="373" t="s">
        <v>393</v>
      </c>
      <c r="K29" s="372" t="s">
        <v>393</v>
      </c>
      <c r="L29" s="371" t="s">
        <v>393</v>
      </c>
      <c r="M29" s="372" t="s">
        <v>393</v>
      </c>
      <c r="N29" s="371" t="s">
        <v>393</v>
      </c>
      <c r="O29" s="373" t="s">
        <v>393</v>
      </c>
      <c r="P29" s="372" t="s">
        <v>393</v>
      </c>
      <c r="Q29" s="371" t="s">
        <v>393</v>
      </c>
      <c r="R29" s="373" t="s">
        <v>393</v>
      </c>
      <c r="S29" s="372" t="s">
        <v>393</v>
      </c>
      <c r="T29" s="371" t="s">
        <v>393</v>
      </c>
      <c r="U29" s="373" t="s">
        <v>393</v>
      </c>
      <c r="V29" s="373" t="s">
        <v>392</v>
      </c>
      <c r="W29" s="373" t="s">
        <v>392</v>
      </c>
      <c r="X29" s="372" t="s">
        <v>392</v>
      </c>
      <c r="Y29" s="371" t="s">
        <v>393</v>
      </c>
      <c r="Z29" s="372" t="s">
        <v>393</v>
      </c>
      <c r="AA29" s="374" t="s">
        <v>393</v>
      </c>
      <c r="AB29" s="372" t="s">
        <v>393</v>
      </c>
      <c r="AC29" s="214"/>
      <c r="AD29" s="221" t="str" cm="1">
        <f t="array" ref="AD29">IF(OR(Q29:S29="Std"),"Std",IF(OR(Q29:S29="Opt1",Q29:S29="Opt2"),"Opt","N/A"))</f>
        <v>Opt</v>
      </c>
      <c r="AE29" s="221" t="str">
        <f t="array" ref="AE29">IF(OR(T29:X29="Std"),"Std",IF(OR(T29:X29="Opt1",T29:X29="Opt2"),"Opt","N/A"))</f>
        <v>Std</v>
      </c>
      <c r="AF29" s="221" t="str">
        <f t="array" ref="AF29">IF(OR(Y29:Z29="Std"),"Std",IF(OR(Y29:Z29="Opt1",Y29:Z29="Opt2"),"Opt","N/A"))</f>
        <v>Opt</v>
      </c>
    </row>
    <row r="30" spans="1:32">
      <c r="A30" s="217"/>
      <c r="B30" s="299" t="s">
        <v>435</v>
      </c>
      <c r="C30" s="212" t="s">
        <v>436</v>
      </c>
      <c r="D30" s="371" t="s">
        <v>392</v>
      </c>
      <c r="E30" s="372" t="s">
        <v>392</v>
      </c>
      <c r="F30" s="371" t="s">
        <v>393</v>
      </c>
      <c r="G30" s="373" t="s">
        <v>393</v>
      </c>
      <c r="H30" s="372" t="s">
        <v>393</v>
      </c>
      <c r="I30" s="371" t="s">
        <v>393</v>
      </c>
      <c r="J30" s="373" t="s">
        <v>393</v>
      </c>
      <c r="K30" s="372" t="s">
        <v>393</v>
      </c>
      <c r="L30" s="371" t="s">
        <v>393</v>
      </c>
      <c r="M30" s="372" t="s">
        <v>393</v>
      </c>
      <c r="N30" s="371" t="s">
        <v>393</v>
      </c>
      <c r="O30" s="373" t="s">
        <v>393</v>
      </c>
      <c r="P30" s="372" t="s">
        <v>393</v>
      </c>
      <c r="Q30" s="371" t="s">
        <v>393</v>
      </c>
      <c r="R30" s="373" t="s">
        <v>393</v>
      </c>
      <c r="S30" s="372" t="s">
        <v>393</v>
      </c>
      <c r="T30" s="371" t="s">
        <v>393</v>
      </c>
      <c r="U30" s="373" t="s">
        <v>393</v>
      </c>
      <c r="V30" s="373" t="s">
        <v>392</v>
      </c>
      <c r="W30" s="373" t="s">
        <v>392</v>
      </c>
      <c r="X30" s="372" t="s">
        <v>392</v>
      </c>
      <c r="Y30" s="371" t="s">
        <v>393</v>
      </c>
      <c r="Z30" s="372" t="s">
        <v>393</v>
      </c>
      <c r="AA30" s="374" t="s">
        <v>393</v>
      </c>
      <c r="AB30" s="372" t="s">
        <v>393</v>
      </c>
      <c r="AC30" s="214"/>
      <c r="AD30" s="221" t="str" cm="1">
        <f t="array" ref="AD30">IF(OR(Q30:S30="Std"),"Std",IF(OR(Q30:S30="Opt1",Q30:S30="Opt2"),"Opt","N/A"))</f>
        <v>Opt</v>
      </c>
      <c r="AE30" s="221" t="str">
        <f t="array" ref="AE30">IF(OR(T30:X30="Std"),"Std",IF(OR(T30:X30="Opt1",T30:X30="Opt2"),"Opt","N/A"))</f>
        <v>Std</v>
      </c>
      <c r="AF30" s="221" t="str">
        <f t="array" ref="AF30">IF(OR(Y30:Z30="Std"),"Std",IF(OR(Y30:Z30="Opt1",Y30:Z30="Opt2"),"Opt","N/A"))</f>
        <v>Opt</v>
      </c>
    </row>
    <row r="31" spans="1:32">
      <c r="A31" s="217"/>
      <c r="B31" s="299" t="s">
        <v>437</v>
      </c>
      <c r="C31" s="212" t="s">
        <v>438</v>
      </c>
      <c r="D31" s="371" t="s">
        <v>392</v>
      </c>
      <c r="E31" s="372" t="s">
        <v>392</v>
      </c>
      <c r="F31" s="371" t="s">
        <v>393</v>
      </c>
      <c r="G31" s="373" t="s">
        <v>393</v>
      </c>
      <c r="H31" s="372" t="s">
        <v>393</v>
      </c>
      <c r="I31" s="371" t="s">
        <v>393</v>
      </c>
      <c r="J31" s="373" t="s">
        <v>393</v>
      </c>
      <c r="K31" s="372" t="s">
        <v>393</v>
      </c>
      <c r="L31" s="371" t="s">
        <v>393</v>
      </c>
      <c r="M31" s="372" t="s">
        <v>393</v>
      </c>
      <c r="N31" s="371" t="s">
        <v>393</v>
      </c>
      <c r="O31" s="373" t="s">
        <v>393</v>
      </c>
      <c r="P31" s="372" t="s">
        <v>393</v>
      </c>
      <c r="Q31" s="371" t="s">
        <v>393</v>
      </c>
      <c r="R31" s="373" t="s">
        <v>393</v>
      </c>
      <c r="S31" s="372" t="s">
        <v>393</v>
      </c>
      <c r="T31" s="371" t="s">
        <v>393</v>
      </c>
      <c r="U31" s="373" t="s">
        <v>393</v>
      </c>
      <c r="V31" s="373" t="s">
        <v>392</v>
      </c>
      <c r="W31" s="373" t="s">
        <v>392</v>
      </c>
      <c r="X31" s="372" t="s">
        <v>392</v>
      </c>
      <c r="Y31" s="371" t="s">
        <v>393</v>
      </c>
      <c r="Z31" s="372" t="s">
        <v>393</v>
      </c>
      <c r="AA31" s="374" t="s">
        <v>393</v>
      </c>
      <c r="AB31" s="372" t="s">
        <v>393</v>
      </c>
      <c r="AC31" s="214"/>
      <c r="AD31" s="221" t="str" cm="1">
        <f t="array" ref="AD31">IF(OR(Q31:S31="Std"),"Std",IF(OR(Q31:S31="Opt1",Q31:S31="Opt2"),"Opt","N/A"))</f>
        <v>Opt</v>
      </c>
      <c r="AE31" s="221" t="str">
        <f t="array" ref="AE31">IF(OR(T31:X31="Std"),"Std",IF(OR(T31:X31="Opt1",T31:X31="Opt2"),"Opt","N/A"))</f>
        <v>Std</v>
      </c>
      <c r="AF31" s="221" t="str">
        <f t="array" ref="AF31">IF(OR(Y31:Z31="Std"),"Std",IF(OR(Y31:Z31="Opt1",Y31:Z31="Opt2"),"Opt","N/A"))</f>
        <v>Opt</v>
      </c>
    </row>
    <row r="32" spans="1:32">
      <c r="A32" s="217"/>
      <c r="B32" s="299" t="s">
        <v>183</v>
      </c>
      <c r="C32" s="212" t="s">
        <v>439</v>
      </c>
      <c r="D32" s="371" t="s">
        <v>392</v>
      </c>
      <c r="E32" s="372" t="s">
        <v>392</v>
      </c>
      <c r="F32" s="371" t="s">
        <v>393</v>
      </c>
      <c r="G32" s="373" t="s">
        <v>393</v>
      </c>
      <c r="H32" s="372" t="s">
        <v>393</v>
      </c>
      <c r="I32" s="371" t="s">
        <v>393</v>
      </c>
      <c r="J32" s="373" t="s">
        <v>393</v>
      </c>
      <c r="K32" s="372" t="s">
        <v>393</v>
      </c>
      <c r="L32" s="371" t="s">
        <v>393</v>
      </c>
      <c r="M32" s="372" t="s">
        <v>393</v>
      </c>
      <c r="N32" s="371" t="s">
        <v>393</v>
      </c>
      <c r="O32" s="373" t="s">
        <v>393</v>
      </c>
      <c r="P32" s="372" t="s">
        <v>393</v>
      </c>
      <c r="Q32" s="371" t="s">
        <v>393</v>
      </c>
      <c r="R32" s="373" t="s">
        <v>393</v>
      </c>
      <c r="S32" s="372" t="s">
        <v>393</v>
      </c>
      <c r="T32" s="371" t="s">
        <v>393</v>
      </c>
      <c r="U32" s="373" t="s">
        <v>393</v>
      </c>
      <c r="V32" s="373" t="s">
        <v>392</v>
      </c>
      <c r="W32" s="373" t="s">
        <v>392</v>
      </c>
      <c r="X32" s="372" t="s">
        <v>392</v>
      </c>
      <c r="Y32" s="371" t="s">
        <v>393</v>
      </c>
      <c r="Z32" s="372" t="s">
        <v>393</v>
      </c>
      <c r="AA32" s="374" t="s">
        <v>393</v>
      </c>
      <c r="AB32" s="372" t="s">
        <v>393</v>
      </c>
      <c r="AC32" s="214"/>
      <c r="AD32" s="221" t="str" cm="1">
        <f t="array" ref="AD32">IF(OR(Q32:S32="Std"),"Std",IF(OR(Q32:S32="Opt1",Q32:S32="Opt2"),"Opt","N/A"))</f>
        <v>Opt</v>
      </c>
      <c r="AE32" s="221" t="str">
        <f t="array" ref="AE32">IF(OR(T32:X32="Std"),"Std",IF(OR(T32:X32="Opt1",T32:X32="Opt2"),"Opt","N/A"))</f>
        <v>Std</v>
      </c>
      <c r="AF32" s="221" t="str">
        <f t="array" ref="AF32">IF(OR(Y32:Z32="Std"),"Std",IF(OR(Y32:Z32="Opt1",Y32:Z32="Opt2"),"Opt","N/A"))</f>
        <v>Opt</v>
      </c>
    </row>
    <row r="33" spans="1:32">
      <c r="A33" s="217"/>
      <c r="B33" s="299" t="s">
        <v>185</v>
      </c>
      <c r="C33" s="212" t="s">
        <v>440</v>
      </c>
      <c r="D33" s="371" t="s">
        <v>392</v>
      </c>
      <c r="E33" s="372" t="s">
        <v>392</v>
      </c>
      <c r="F33" s="371" t="s">
        <v>393</v>
      </c>
      <c r="G33" s="373" t="s">
        <v>393</v>
      </c>
      <c r="H33" s="372" t="s">
        <v>393</v>
      </c>
      <c r="I33" s="371" t="s">
        <v>393</v>
      </c>
      <c r="J33" s="373" t="s">
        <v>393</v>
      </c>
      <c r="K33" s="372" t="s">
        <v>393</v>
      </c>
      <c r="L33" s="371" t="s">
        <v>393</v>
      </c>
      <c r="M33" s="372" t="s">
        <v>393</v>
      </c>
      <c r="N33" s="371" t="s">
        <v>393</v>
      </c>
      <c r="O33" s="373" t="s">
        <v>393</v>
      </c>
      <c r="P33" s="372" t="s">
        <v>393</v>
      </c>
      <c r="Q33" s="371" t="s">
        <v>393</v>
      </c>
      <c r="R33" s="373" t="s">
        <v>393</v>
      </c>
      <c r="S33" s="372" t="s">
        <v>393</v>
      </c>
      <c r="T33" s="371" t="s">
        <v>393</v>
      </c>
      <c r="U33" s="373" t="s">
        <v>393</v>
      </c>
      <c r="V33" s="373" t="s">
        <v>392</v>
      </c>
      <c r="W33" s="373" t="s">
        <v>392</v>
      </c>
      <c r="X33" s="372" t="s">
        <v>392</v>
      </c>
      <c r="Y33" s="371" t="s">
        <v>393</v>
      </c>
      <c r="Z33" s="372" t="s">
        <v>393</v>
      </c>
      <c r="AA33" s="374" t="s">
        <v>393</v>
      </c>
      <c r="AB33" s="372" t="s">
        <v>393</v>
      </c>
      <c r="AC33" s="214"/>
      <c r="AD33" s="221" t="str" cm="1">
        <f t="array" ref="AD33">IF(OR(Q33:S33="Std"),"Std",IF(OR(Q33:S33="Opt1",Q33:S33="Opt2"),"Opt","N/A"))</f>
        <v>Opt</v>
      </c>
      <c r="AE33" s="221" t="str">
        <f t="array" ref="AE33">IF(OR(T33:X33="Std"),"Std",IF(OR(T33:X33="Opt1",T33:X33="Opt2"),"Opt","N/A"))</f>
        <v>Std</v>
      </c>
      <c r="AF33" s="221" t="str">
        <f t="array" ref="AF33">IF(OR(Y33:Z33="Std"),"Std",IF(OR(Y33:Z33="Opt1",Y33:Z33="Opt2"),"Opt","N/A"))</f>
        <v>Opt</v>
      </c>
    </row>
    <row r="34" spans="1:32" ht="15" thickBot="1">
      <c r="A34" s="217"/>
      <c r="B34" s="218" t="s">
        <v>184</v>
      </c>
      <c r="C34" s="219" t="s">
        <v>441</v>
      </c>
      <c r="D34" s="225" t="s">
        <v>392</v>
      </c>
      <c r="E34" s="375" t="s">
        <v>392</v>
      </c>
      <c r="F34" s="225" t="s">
        <v>393</v>
      </c>
      <c r="G34" s="376" t="s">
        <v>393</v>
      </c>
      <c r="H34" s="375" t="s">
        <v>393</v>
      </c>
      <c r="I34" s="225" t="s">
        <v>393</v>
      </c>
      <c r="J34" s="376" t="s">
        <v>393</v>
      </c>
      <c r="K34" s="375" t="s">
        <v>393</v>
      </c>
      <c r="L34" s="225" t="s">
        <v>393</v>
      </c>
      <c r="M34" s="375" t="s">
        <v>393</v>
      </c>
      <c r="N34" s="225" t="s">
        <v>393</v>
      </c>
      <c r="O34" s="376" t="s">
        <v>393</v>
      </c>
      <c r="P34" s="375" t="s">
        <v>393</v>
      </c>
      <c r="Q34" s="225" t="s">
        <v>393</v>
      </c>
      <c r="R34" s="376" t="s">
        <v>393</v>
      </c>
      <c r="S34" s="375" t="s">
        <v>393</v>
      </c>
      <c r="T34" s="225" t="s">
        <v>393</v>
      </c>
      <c r="U34" s="376" t="s">
        <v>393</v>
      </c>
      <c r="V34" s="376" t="s">
        <v>392</v>
      </c>
      <c r="W34" s="376" t="s">
        <v>392</v>
      </c>
      <c r="X34" s="375" t="s">
        <v>392</v>
      </c>
      <c r="Y34" s="225" t="s">
        <v>393</v>
      </c>
      <c r="Z34" s="375" t="s">
        <v>393</v>
      </c>
      <c r="AA34" s="377" t="s">
        <v>393</v>
      </c>
      <c r="AB34" s="375" t="s">
        <v>393</v>
      </c>
      <c r="AC34" s="220"/>
      <c r="AD34" s="221" t="str" cm="1">
        <f t="array" ref="AD34">IF(OR(Q34:S34="Std"),"Std",IF(OR(Q34:S34="Opt1",Q34:S34="Opt2"),"Opt","N/A"))</f>
        <v>Opt</v>
      </c>
      <c r="AE34" s="221" t="str">
        <f t="array" ref="AE34">IF(OR(T34:X34="Std"),"Std",IF(OR(T34:X34="Opt1",T34:X34="Opt2"),"Opt","N/A"))</f>
        <v>Std</v>
      </c>
      <c r="AF34" s="221" t="str">
        <f t="array" ref="AF34">IF(OR(Y34:Z34="Std"),"Std",IF(OR(Y34:Z34="Opt1",Y34:Z34="Opt2"),"Opt","N/A"))</f>
        <v>Opt</v>
      </c>
    </row>
    <row r="35" spans="1:32" s="221" customFormat="1" ht="29.25" customHeight="1" thickBot="1">
      <c r="A35" s="230"/>
      <c r="B35" s="229" t="s">
        <v>446</v>
      </c>
      <c r="C35" s="231"/>
      <c r="D35" s="229" t="str">
        <f t="array" ref="D35">IF(AND(D6:D34="Std"),"Std",IF(OR(D6:D34="Opt1",D6:D34="Opt2"),"Opt","N/A"))</f>
        <v>Std</v>
      </c>
      <c r="E35" s="229" t="str">
        <f t="array" ref="E35">IF(AND(E6:E34="Std"),"Std",IF(OR(E6:E34="Opt1",E6:E34="Opt2"),"Opt","N/A"))</f>
        <v>Std</v>
      </c>
      <c r="F35" s="229" t="str">
        <f t="array" ref="F35">IF(AND(F6:F34="Std"),"Std",IF(OR(F6:F34="Opt1",F6:F34="Opt2"),"Opt","N/A"))</f>
        <v>Opt</v>
      </c>
      <c r="G35" s="229" t="str">
        <f t="array" ref="G35">IF(AND(G6:G34="Std"),"Std",IF(OR(G6:G34="Opt1",G6:G34="Opt2"),"Opt","N/A"))</f>
        <v>Opt</v>
      </c>
      <c r="H35" s="229" t="str">
        <f t="array" ref="H35">IF(AND(H6:H34="Std"),"Std",IF(OR(H6:H34="Opt1",H6:H34="Opt2"),"Opt","N/A"))</f>
        <v>Opt</v>
      </c>
      <c r="I35" s="229" t="str">
        <f t="array" ref="I35">IF(AND(I6:I34="Std"),"Std",IF(OR(I6:I34="Opt1",I6:I34="Opt2"),"Opt","N/A"))</f>
        <v>Opt</v>
      </c>
      <c r="J35" s="229" t="str">
        <f t="array" ref="J35">IF(AND(J6:J34="Std"),"Std",IF(OR(J6:J34="Opt1",J6:J34="Opt2"),"Opt","N/A"))</f>
        <v>Opt</v>
      </c>
      <c r="K35" s="229" t="str">
        <f t="array" ref="K35">IF(AND(K6:K34="Std"),"Std",IF(OR(K6:K34="Opt1",K6:K34="Opt2"),"Opt","N/A"))</f>
        <v>Opt</v>
      </c>
      <c r="L35" s="229" t="str">
        <f t="array" ref="L35">IF(AND(L6:L34="Std"),"Std",IF(OR(L6:L34="Opt1",L6:L34="Opt2"),"Opt","N/A"))</f>
        <v>Opt</v>
      </c>
      <c r="M35" s="229" t="str">
        <f t="array" ref="M35">IF(AND(M6:M34="Std"),"Std",IF(OR(M6:M34="Opt1",M6:M34="Opt2"),"Opt","N/A"))</f>
        <v>Opt</v>
      </c>
      <c r="N35" s="229" t="str">
        <f t="array" ref="N35">IF(AND(N6:N34="Std"),"Std",IF(OR(N6:N34="Opt1",N6:N34="Opt2"),"Opt","N/A"))</f>
        <v>Opt</v>
      </c>
      <c r="O35" s="229" t="str">
        <f t="array" ref="O35">IF(AND(O6:O34="Std"),"Std",IF(OR(O6:O34="Opt1",O6:O34="Opt2"),"Opt","N/A"))</f>
        <v>Opt</v>
      </c>
      <c r="P35" s="229" t="str">
        <f t="array" ref="P35">IF(AND(P6:P34="Std"),"Std",IF(OR(P6:P34="Opt1",P6:P34="Opt2"),"Opt","N/A"))</f>
        <v>Opt</v>
      </c>
      <c r="Q35" s="229" t="str">
        <f t="array" ref="Q35">IF(AND(Q6:Q34="Std"),"Std",IF(OR(Q6:Q34="Opt1",Q6:Q34="Opt2"),"Opt","N/A"))</f>
        <v>Opt</v>
      </c>
      <c r="R35" s="229" t="str">
        <f t="array" ref="R35">IF(AND(R6:R34="Std"),"Std",IF(OR(R6:R34="Opt1",R6:R34="Opt2"),"Opt","N/A"))</f>
        <v>Opt</v>
      </c>
      <c r="S35" s="229" t="str">
        <f t="array" ref="S35">IF(AND(S6:S34="Std"),"Std",IF(OR(S6:S34="Opt1",S6:S34="Opt2"),"Opt","N/A"))</f>
        <v>Opt</v>
      </c>
      <c r="T35" s="229" t="str">
        <f t="array" ref="T35">IF(AND(T6:T34="Std"),"Std",IF(OR(T6:T34="Opt1",T6:T34="Opt2"),"Opt","N/A"))</f>
        <v>Opt</v>
      </c>
      <c r="U35" s="229" t="str">
        <f t="array" ref="U35">IF(AND(U6:U34="Std"),"Std",IF(OR(U6:U34="Opt1",U6:U34="Opt2"),"Opt","N/A"))</f>
        <v>Opt</v>
      </c>
      <c r="V35" s="229" t="str">
        <f t="array" ref="V35">IF(AND(V6:V34="Std"),"Std",IF(OR(V6:V34="Opt1",V6:V34="Opt2"),"Opt","N/A"))</f>
        <v>Std</v>
      </c>
      <c r="W35" s="229" t="str">
        <f t="array" ref="W35">IF(AND(W6:W34="Std"),"Std",IF(OR(W6:W34="Opt1",W6:W34="Opt2"),"Opt","N/A"))</f>
        <v>Std</v>
      </c>
      <c r="X35" s="229" t="str">
        <f t="array" ref="X35">IF(AND(X6:X34="Std"),"Std",IF(OR(X6:X34="Opt1",X6:X34="Opt2"),"Opt","N/A"))</f>
        <v>Std</v>
      </c>
      <c r="Y35" s="229" t="str">
        <f t="array" ref="Y35">IF(AND(Y6:Y34="Std"),"Std",IF(OR(Y6:Y34="Opt1",Y6:Y34="Opt2"),"Opt","N/A"))</f>
        <v>Opt</v>
      </c>
      <c r="Z35" s="229" t="str">
        <f t="array" ref="Z35">IF(AND(Z6:Z34="Std"),"Std",IF(OR(Z6:Z34="Opt1",Z6:Z34="Opt2"),"Opt","N/A"))</f>
        <v>Opt</v>
      </c>
      <c r="AA35" s="229" t="str">
        <f t="array" ref="AA35">IF(AND(AA6:AA34="Std"),"Std",IF(OR(AA6:AA34="Opt1",AA6:AA34="Opt2"),"Opt","N/A"))</f>
        <v>Opt</v>
      </c>
      <c r="AB35" s="229" t="str">
        <f t="array" ref="AB35">IF(AND(AB6:AB34="Std"),"Std",IF(OR(AB6:AB34="Opt1",AB6:AB34="Opt2"),"Opt","N/A"))</f>
        <v>Opt</v>
      </c>
      <c r="AD35" s="229" t="str">
        <f t="array" ref="AD35">IF(AND(AD6:AD34="Std"),"Std",IF(OR(AD6:AD34="Opt"),"Opt","N/A"))</f>
        <v>Opt</v>
      </c>
      <c r="AE35" s="229" t="str">
        <f t="array" ref="AE35">IF(AND(AE6:AE34="Std"),"Std",IF(OR(AE6:AE34="Opt"),"Opt","N/A"))</f>
        <v>Std</v>
      </c>
      <c r="AF35" s="229" t="str">
        <f t="array" ref="AF35">IF(AND(AF6:AF34="Std"),"Std",IF(OR(AF6:AF34="Opt"),"Opt","N/A"))</f>
        <v>Opt</v>
      </c>
    </row>
    <row r="36" spans="1:32">
      <c r="A36" s="222" t="s">
        <v>442</v>
      </c>
      <c r="C36" s="222"/>
      <c r="D36" s="222"/>
      <c r="E36" s="222"/>
      <c r="F36" s="222"/>
    </row>
    <row r="37" spans="1:32">
      <c r="A37" s="209" t="s">
        <v>392</v>
      </c>
      <c r="B37" s="222" t="s">
        <v>443</v>
      </c>
      <c r="C37" s="222"/>
      <c r="D37" s="222"/>
      <c r="E37" s="222"/>
      <c r="F37" s="222"/>
    </row>
    <row r="38" spans="1:32">
      <c r="A38" s="209" t="s">
        <v>393</v>
      </c>
      <c r="B38" s="222" t="str">
        <f>"The equipment is not standard on all variants but is available at least as an option on all N1 variants of the "&amp;A1&amp;" model range"</f>
        <v>The equipment is not standard on all variants but is available at least as an option on all N1 variants of the FIAT Ducato model range</v>
      </c>
      <c r="C38" s="222"/>
      <c r="D38" s="222"/>
      <c r="E38" s="222"/>
      <c r="F38" s="222"/>
    </row>
    <row r="39" spans="1:32">
      <c r="A39" s="209" t="s">
        <v>444</v>
      </c>
      <c r="B39" s="223" t="str">
        <f>"The equipment is offered as an option on at least one N1 variant of the "&amp;A1&amp;" model range"</f>
        <v>The equipment is offered as an option on at least one N1 variant of the FIAT Ducato model range</v>
      </c>
    </row>
    <row r="40" spans="1:32">
      <c r="A40" s="209" t="s">
        <v>394</v>
      </c>
      <c r="B40" s="222" t="s">
        <v>445</v>
      </c>
    </row>
    <row r="43" spans="1:32">
      <c r="C43" s="203" t="s">
        <v>391</v>
      </c>
    </row>
    <row r="44" spans="1:32">
      <c r="C44" s="203" t="s">
        <v>396</v>
      </c>
    </row>
    <row r="45" spans="1:32">
      <c r="C45" s="203" t="s">
        <v>398</v>
      </c>
    </row>
    <row r="46" spans="1:32">
      <c r="C46" s="203" t="s">
        <v>400</v>
      </c>
    </row>
    <row r="47" spans="1:32">
      <c r="C47" s="203" t="s">
        <v>402</v>
      </c>
    </row>
    <row r="48" spans="1:32">
      <c r="C48" s="212" t="s">
        <v>404</v>
      </c>
    </row>
    <row r="49" spans="3:3">
      <c r="C49" s="212" t="s">
        <v>406</v>
      </c>
    </row>
    <row r="50" spans="3:3">
      <c r="C50" s="212" t="s">
        <v>408</v>
      </c>
    </row>
    <row r="51" spans="3:3">
      <c r="C51" s="212" t="s">
        <v>410</v>
      </c>
    </row>
    <row r="52" spans="3:3">
      <c r="C52" s="212" t="s">
        <v>411</v>
      </c>
    </row>
    <row r="53" spans="3:3">
      <c r="C53" s="212" t="s">
        <v>412</v>
      </c>
    </row>
    <row r="54" spans="3:3">
      <c r="C54" s="212" t="s">
        <v>414</v>
      </c>
    </row>
    <row r="55" spans="3:3">
      <c r="C55" s="212" t="s">
        <v>416</v>
      </c>
    </row>
    <row r="56" spans="3:3">
      <c r="C56" s="212" t="s">
        <v>418</v>
      </c>
    </row>
    <row r="57" spans="3:3">
      <c r="C57" s="215" t="s">
        <v>419</v>
      </c>
    </row>
    <row r="58" spans="3:3">
      <c r="C58" s="212" t="s">
        <v>421</v>
      </c>
    </row>
    <row r="59" spans="3:3">
      <c r="C59" s="212" t="s">
        <v>423</v>
      </c>
    </row>
    <row r="60" spans="3:3">
      <c r="C60" s="212" t="s">
        <v>424</v>
      </c>
    </row>
    <row r="61" spans="3:3">
      <c r="C61" s="212" t="s">
        <v>426</v>
      </c>
    </row>
    <row r="62" spans="3:3">
      <c r="C62" s="212" t="s">
        <v>428</v>
      </c>
    </row>
    <row r="63" spans="3:3">
      <c r="C63" s="212" t="s">
        <v>430</v>
      </c>
    </row>
    <row r="64" spans="3:3">
      <c r="C64" s="212" t="s">
        <v>432</v>
      </c>
    </row>
    <row r="65" spans="3:3">
      <c r="C65" s="212" t="s">
        <v>434</v>
      </c>
    </row>
    <row r="66" spans="3:3">
      <c r="C66" s="212" t="s">
        <v>436</v>
      </c>
    </row>
    <row r="67" spans="3:3">
      <c r="C67" s="212" t="s">
        <v>438</v>
      </c>
    </row>
    <row r="68" spans="3:3">
      <c r="C68" s="212" t="s">
        <v>439</v>
      </c>
    </row>
    <row r="69" spans="3:3">
      <c r="C69" s="212" t="s">
        <v>440</v>
      </c>
    </row>
    <row r="70" spans="3:3" ht="15" thickBot="1">
      <c r="C70" s="219"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A37:A40">
    <cfRule type="containsText" dxfId="1087" priority="5" operator="containsText" text="N/A">
      <formula>NOT(ISERROR(SEARCH("N/A",A37)))</formula>
    </cfRule>
    <cfRule type="containsText" dxfId="1086" priority="6" operator="containsText" text="Opt2">
      <formula>NOT(ISERROR(SEARCH("Opt2",A37)))</formula>
    </cfRule>
    <cfRule type="containsText" dxfId="1085" priority="7" operator="containsText" text="Opt1">
      <formula>NOT(ISERROR(SEARCH("Opt1",A37)))</formula>
    </cfRule>
    <cfRule type="containsText" dxfId="1084" priority="8" operator="containsText" text="Std">
      <formula>NOT(ISERROR(SEARCH("Std",A37)))</formula>
    </cfRule>
  </conditionalFormatting>
  <conditionalFormatting sqref="D6:AB34">
    <cfRule type="containsText" dxfId="1083" priority="1" operator="containsText" text="N/A">
      <formula>NOT(ISERROR(SEARCH("N/A",D6)))</formula>
    </cfRule>
    <cfRule type="containsText" dxfId="1082" priority="2" operator="containsText" text="Opt2">
      <formula>NOT(ISERROR(SEARCH("Opt2",D6)))</formula>
    </cfRule>
    <cfRule type="containsText" dxfId="1081" priority="3" operator="containsText" text="Opt1">
      <formula>NOT(ISERROR(SEARCH("Opt1",D6)))</formula>
    </cfRule>
    <cfRule type="containsText" dxfId="1080" priority="4" operator="containsText" text="Std">
      <formula>NOT(ISERROR(SEARCH("Std",D6)))</formula>
    </cfRule>
  </conditionalFormatting>
  <dataValidations count="2">
    <dataValidation type="list" allowBlank="1" showInputMessage="1" showErrorMessage="1" sqref="D6:AB34" xr:uid="{DFE3976E-12A0-45B7-907A-FB2949A6D5EF}">
      <formula1>"Std,Opt1,Opt2,N/A"</formula1>
    </dataValidation>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K127"/>
  <sheetViews>
    <sheetView showGridLines="0" topLeftCell="A82" zoomScale="85" zoomScaleNormal="85" workbookViewId="0">
      <selection activeCell="I93" sqref="I93"/>
    </sheetView>
  </sheetViews>
  <sheetFormatPr defaultColWidth="8.6640625" defaultRowHeight="13.8"/>
  <cols>
    <col min="1" max="2" width="8.6640625" style="28"/>
    <col min="3" max="3" width="40.44140625" style="28" customWidth="1"/>
    <col min="4" max="7" width="10.6640625" style="28" customWidth="1"/>
    <col min="8" max="8" width="13.44140625" style="28" hidden="1" customWidth="1"/>
    <col min="9" max="11" width="8.6640625" style="28" customWidth="1"/>
    <col min="12" max="16384" width="8.6640625" style="28"/>
  </cols>
  <sheetData>
    <row r="1" spans="1:8" ht="14.4" thickBot="1">
      <c r="A1" s="27">
        <v>3</v>
      </c>
    </row>
    <row r="2" spans="1:8" s="30" customFormat="1" ht="13.2" customHeight="1">
      <c r="B2" s="464" t="s">
        <v>69</v>
      </c>
      <c r="C2" s="465"/>
      <c r="D2" s="468" t="s">
        <v>103</v>
      </c>
      <c r="E2" s="469"/>
      <c r="F2" s="472" t="s">
        <v>717</v>
      </c>
      <c r="G2" s="473"/>
    </row>
    <row r="3" spans="1:8" s="30" customFormat="1" ht="15" customHeight="1">
      <c r="B3" s="466"/>
      <c r="C3" s="467"/>
      <c r="D3" s="470"/>
      <c r="E3" s="471"/>
      <c r="F3" s="474"/>
      <c r="G3" s="475"/>
    </row>
    <row r="4" spans="1:8" ht="15" customHeight="1" thickBot="1">
      <c r="B4" s="476"/>
      <c r="C4" s="477"/>
      <c r="D4" s="78" t="s">
        <v>104</v>
      </c>
      <c r="E4" s="79" t="s">
        <v>10</v>
      </c>
      <c r="F4" s="249" t="s">
        <v>104</v>
      </c>
      <c r="G4" s="80" t="s">
        <v>10</v>
      </c>
    </row>
    <row r="5" spans="1:8" s="29" customFormat="1" ht="15" customHeight="1">
      <c r="A5" s="28"/>
      <c r="B5" s="33" t="s">
        <v>29</v>
      </c>
      <c r="C5" s="64"/>
      <c r="D5" s="478"/>
      <c r="E5" s="479"/>
      <c r="F5" s="479"/>
      <c r="G5" s="480"/>
    </row>
    <row r="6" spans="1:8" s="29" customFormat="1" ht="15" customHeight="1">
      <c r="A6" s="28"/>
      <c r="B6" s="31"/>
      <c r="C6" s="65" t="s">
        <v>105</v>
      </c>
      <c r="D6" s="493"/>
      <c r="E6" s="494"/>
      <c r="F6" s="493"/>
      <c r="G6" s="494"/>
      <c r="H6" s="29">
        <f>D6</f>
        <v>0</v>
      </c>
    </row>
    <row r="7" spans="1:8" s="29" customFormat="1" ht="15" customHeight="1">
      <c r="A7" s="28"/>
      <c r="B7" s="31"/>
      <c r="C7" s="65" t="s">
        <v>30</v>
      </c>
      <c r="D7" s="493" t="s">
        <v>773</v>
      </c>
      <c r="E7" s="494"/>
      <c r="F7" s="493" t="s">
        <v>773</v>
      </c>
      <c r="G7" s="494"/>
    </row>
    <row r="8" spans="1:8" s="29" customFormat="1" ht="15" customHeight="1">
      <c r="A8" s="28"/>
      <c r="B8" s="31"/>
      <c r="C8" s="65" t="s">
        <v>47</v>
      </c>
      <c r="D8" s="495"/>
      <c r="E8" s="496"/>
      <c r="F8" s="495"/>
      <c r="G8" s="496"/>
      <c r="H8" s="29">
        <f>D8</f>
        <v>0</v>
      </c>
    </row>
    <row r="9" spans="1:8" s="29" customFormat="1" ht="15" customHeight="1" thickBot="1">
      <c r="A9" s="28"/>
      <c r="B9" s="38"/>
      <c r="C9" s="66" t="s">
        <v>31</v>
      </c>
      <c r="D9" s="497"/>
      <c r="E9" s="498"/>
      <c r="F9" s="497"/>
      <c r="G9" s="498"/>
      <c r="H9" s="29">
        <f>D9</f>
        <v>0</v>
      </c>
    </row>
    <row r="10" spans="1:8" s="29" customFormat="1" ht="15" customHeight="1" thickBot="1">
      <c r="A10" s="28"/>
      <c r="B10" s="28"/>
      <c r="C10" s="30"/>
      <c r="D10" s="28"/>
      <c r="E10" s="28"/>
      <c r="F10" s="28"/>
      <c r="G10" s="28"/>
    </row>
    <row r="11" spans="1:8" s="29" customFormat="1" ht="15" customHeight="1">
      <c r="A11" s="28"/>
      <c r="B11" s="33" t="s">
        <v>70</v>
      </c>
      <c r="C11" s="34"/>
      <c r="D11" s="478"/>
      <c r="E11" s="479"/>
      <c r="F11" s="479"/>
      <c r="G11" s="480"/>
    </row>
    <row r="12" spans="1:8" s="29" customFormat="1" ht="15" customHeight="1">
      <c r="A12" s="28"/>
      <c r="B12" s="31"/>
      <c r="C12" s="35"/>
      <c r="D12" s="487"/>
      <c r="E12" s="488"/>
      <c r="F12" s="488"/>
      <c r="G12" s="489"/>
    </row>
    <row r="13" spans="1:8" s="29" customFormat="1" ht="15" customHeight="1">
      <c r="A13" s="28"/>
      <c r="B13" s="31"/>
      <c r="C13" s="32" t="s">
        <v>73</v>
      </c>
      <c r="D13" s="490" t="s">
        <v>771</v>
      </c>
      <c r="E13" s="491"/>
      <c r="F13" s="491"/>
      <c r="G13" s="492"/>
    </row>
    <row r="14" spans="1:8" s="29" customFormat="1" ht="15" customHeight="1">
      <c r="A14" s="28"/>
      <c r="B14" s="31"/>
      <c r="C14" s="32" t="s">
        <v>156</v>
      </c>
      <c r="D14" s="490" t="s">
        <v>772</v>
      </c>
      <c r="E14" s="504"/>
      <c r="F14" s="491" t="s">
        <v>772</v>
      </c>
      <c r="G14" s="492"/>
    </row>
    <row r="15" spans="1:8" s="29" customFormat="1" ht="15" customHeight="1" thickBot="1">
      <c r="A15" s="28"/>
      <c r="B15" s="31"/>
      <c r="C15" s="32" t="s">
        <v>106</v>
      </c>
      <c r="D15" s="505" t="s">
        <v>205</v>
      </c>
      <c r="E15" s="506"/>
      <c r="F15" s="507" t="s">
        <v>205</v>
      </c>
      <c r="G15" s="508"/>
    </row>
    <row r="16" spans="1:8" s="29" customFormat="1" ht="15" customHeight="1" thickBot="1">
      <c r="A16" s="28"/>
      <c r="B16" s="481" t="s">
        <v>70</v>
      </c>
      <c r="C16" s="482"/>
      <c r="D16" s="483" t="str">
        <f>IF(AND(D13="YES",D14="PASS",D15="NO"),"PASS","FAIL")</f>
        <v>PASS</v>
      </c>
      <c r="E16" s="484"/>
      <c r="F16" s="485" t="str">
        <f>IF(AND(D13="YES",F14="PASS",F15="NO"),"PASS","FAIL")</f>
        <v>PASS</v>
      </c>
      <c r="G16" s="486"/>
    </row>
    <row r="17" spans="1:7" s="29" customFormat="1" ht="15" customHeight="1" thickBot="1">
      <c r="A17" s="28"/>
      <c r="B17" s="28"/>
      <c r="C17" s="30"/>
      <c r="D17" s="28"/>
      <c r="E17" s="28"/>
      <c r="F17" s="28"/>
      <c r="G17" s="28"/>
    </row>
    <row r="18" spans="1:7" s="29" customFormat="1" ht="15" customHeight="1">
      <c r="A18" s="28"/>
      <c r="B18" s="33" t="s">
        <v>107</v>
      </c>
      <c r="C18" s="34"/>
      <c r="D18" s="499"/>
      <c r="E18" s="500"/>
      <c r="F18" s="501"/>
      <c r="G18" s="502"/>
    </row>
    <row r="19" spans="1:7" s="29" customFormat="1" ht="15" customHeight="1">
      <c r="A19" s="28"/>
      <c r="B19" s="69">
        <v>1</v>
      </c>
      <c r="C19" s="42">
        <v>10</v>
      </c>
      <c r="D19" s="63">
        <v>10</v>
      </c>
      <c r="E19" s="250">
        <f>IF(D19="",0,ROUND(($C19-IF(D19&gt;$C19,$C19,D19))/$C19*1,Round))</f>
        <v>0</v>
      </c>
      <c r="F19" s="503"/>
      <c r="G19" s="489"/>
    </row>
    <row r="20" spans="1:7" s="29" customFormat="1" ht="15" customHeight="1">
      <c r="A20" s="28"/>
      <c r="B20" s="69">
        <v>2</v>
      </c>
      <c r="C20" s="42">
        <v>15</v>
      </c>
      <c r="D20" s="63">
        <v>15</v>
      </c>
      <c r="E20" s="250">
        <f>IF(D20="",0,ROUND(($C20-IF(D20&gt;$C20,$C20,D20))/$C20*1,Round))</f>
        <v>0</v>
      </c>
      <c r="F20" s="503"/>
      <c r="G20" s="489"/>
    </row>
    <row r="21" spans="1:7" s="29" customFormat="1" ht="15" customHeight="1">
      <c r="A21" s="28"/>
      <c r="B21" s="69">
        <v>1</v>
      </c>
      <c r="C21" s="42">
        <v>20</v>
      </c>
      <c r="D21" s="63">
        <v>0</v>
      </c>
      <c r="E21" s="250">
        <f>IF(D21="",0,ROUND(($C21-IF(D21&gt;$C21,$C21,D21))/$C21*1,Round))</f>
        <v>1</v>
      </c>
      <c r="F21" s="503"/>
      <c r="G21" s="489"/>
    </row>
    <row r="22" spans="1:7" s="29" customFormat="1" ht="15" customHeight="1">
      <c r="A22" s="28"/>
      <c r="B22" s="69">
        <v>2</v>
      </c>
      <c r="C22" s="42">
        <v>25</v>
      </c>
      <c r="D22" s="63">
        <v>0</v>
      </c>
      <c r="E22" s="250">
        <f>IF(D22="",0,ROUND(($C22-IF(D22&gt;$C22,$C22,D22))/$C22*1,Round))</f>
        <v>1</v>
      </c>
      <c r="F22" s="503"/>
      <c r="G22" s="489"/>
    </row>
    <row r="23" spans="1:7" s="29" customFormat="1" ht="15" customHeight="1">
      <c r="A23" s="28"/>
      <c r="B23" s="69">
        <v>2</v>
      </c>
      <c r="C23" s="42">
        <v>30</v>
      </c>
      <c r="D23" s="63">
        <v>0</v>
      </c>
      <c r="E23" s="250">
        <f>IF(D23="",0,ROUND(($C23-IF(D23&gt;$C23,$C23,D23))/$C23*2,Round))</f>
        <v>2</v>
      </c>
      <c r="F23" s="503"/>
      <c r="G23" s="489"/>
    </row>
    <row r="24" spans="1:7" s="29" customFormat="1" ht="15" customHeight="1">
      <c r="A24" s="28"/>
      <c r="B24" s="69">
        <v>3</v>
      </c>
      <c r="C24" s="42">
        <v>35</v>
      </c>
      <c r="D24" s="63">
        <v>0</v>
      </c>
      <c r="E24" s="250">
        <f>IF(D24="",0,ROUND(($C24-IF(D24&gt;$C24,$C24,D24))/$C24*3,Round))</f>
        <v>3</v>
      </c>
      <c r="F24" s="503"/>
      <c r="G24" s="489"/>
    </row>
    <row r="25" spans="1:7" s="29" customFormat="1" ht="15" customHeight="1">
      <c r="A25" s="28"/>
      <c r="B25" s="69">
        <v>3</v>
      </c>
      <c r="C25" s="42">
        <v>40</v>
      </c>
      <c r="D25" s="63">
        <v>0</v>
      </c>
      <c r="E25" s="250">
        <f>IF(D25="",0,ROUND(($C25-IF(D25&gt;$C25,$C25,D25))/$C25*3,Round))</f>
        <v>3</v>
      </c>
      <c r="F25" s="503"/>
      <c r="G25" s="489"/>
    </row>
    <row r="26" spans="1:7" s="29" customFormat="1" ht="15" customHeight="1">
      <c r="A26" s="28"/>
      <c r="B26" s="31"/>
      <c r="C26" s="42">
        <v>45</v>
      </c>
      <c r="D26" s="63">
        <v>0</v>
      </c>
      <c r="E26" s="250">
        <f>IF(D26="",0,IF(D26&lt;=(C26-20),3,0))</f>
        <v>3</v>
      </c>
      <c r="F26" s="503"/>
      <c r="G26" s="489"/>
    </row>
    <row r="27" spans="1:7" s="29" customFormat="1" ht="15" customHeight="1">
      <c r="A27" s="28"/>
      <c r="B27" s="31"/>
      <c r="C27" s="42">
        <v>50</v>
      </c>
      <c r="D27" s="63">
        <v>0</v>
      </c>
      <c r="E27" s="250">
        <f>IF(D27="",0,IF(D27&lt;=(C27-20),2,0))</f>
        <v>2</v>
      </c>
      <c r="F27" s="503"/>
      <c r="G27" s="489"/>
    </row>
    <row r="28" spans="1:7" s="29" customFormat="1" ht="15" customHeight="1">
      <c r="A28" s="28"/>
      <c r="B28" s="31"/>
      <c r="C28" s="42">
        <v>55</v>
      </c>
      <c r="D28" s="63">
        <v>19.98</v>
      </c>
      <c r="E28" s="250">
        <f>IF(D28="",0,IF(D28&lt;=(C28-20),2,0))</f>
        <v>2</v>
      </c>
      <c r="F28" s="503"/>
      <c r="G28" s="489"/>
    </row>
    <row r="29" spans="1:7" s="29" customFormat="1" ht="15" customHeight="1" thickBot="1">
      <c r="A29" s="28"/>
      <c r="B29" s="31"/>
      <c r="C29" s="42">
        <v>60</v>
      </c>
      <c r="D29" s="63">
        <v>27.28</v>
      </c>
      <c r="E29" s="250">
        <f>IF(D29="",0,IF(D29&lt;=(C29-20),1,0))</f>
        <v>1</v>
      </c>
      <c r="F29" s="509"/>
      <c r="G29" s="510"/>
    </row>
    <row r="30" spans="1:7" s="29" customFormat="1" ht="15" customHeight="1" thickBot="1">
      <c r="A30" s="28"/>
      <c r="B30" s="511" t="s">
        <v>108</v>
      </c>
      <c r="C30" s="512"/>
      <c r="D30" s="513">
        <f>IF((COUNTBLANK(D19:D25)+COUNTBLANK(D26:D29))&gt;0,0,SUM(E19:E25,E26:E29))</f>
        <v>18</v>
      </c>
      <c r="E30" s="514"/>
      <c r="F30" s="515"/>
      <c r="G30" s="516"/>
    </row>
    <row r="31" spans="1:7" s="29" customFormat="1" ht="15" customHeight="1" thickBot="1">
      <c r="A31" s="28"/>
      <c r="B31" s="28"/>
      <c r="C31" s="30"/>
      <c r="D31" s="28"/>
      <c r="E31" s="28"/>
      <c r="F31" s="28"/>
      <c r="G31" s="28"/>
    </row>
    <row r="32" spans="1:7" s="29" customFormat="1" ht="15" customHeight="1">
      <c r="A32" s="28"/>
      <c r="B32" s="33" t="s">
        <v>109</v>
      </c>
      <c r="C32" s="34"/>
      <c r="D32" s="499"/>
      <c r="E32" s="500"/>
      <c r="F32" s="501"/>
      <c r="G32" s="502"/>
    </row>
    <row r="33" spans="1:11" s="29" customFormat="1" ht="15" customHeight="1">
      <c r="A33" s="28"/>
      <c r="B33" s="69">
        <v>1</v>
      </c>
      <c r="C33" s="42">
        <v>10</v>
      </c>
      <c r="D33" s="63">
        <v>10</v>
      </c>
      <c r="E33" s="250">
        <f>IF(D33="",0,ROUND(($C33-IF(D33&gt;$C33,$C33,D33))/$C33*1,Round))</f>
        <v>0</v>
      </c>
      <c r="F33" s="385"/>
      <c r="G33" s="77">
        <f>IF(F33="",0,ROUND(($C33-IF(F33&gt;$C33,$C33,F33))/$C33*1,Round))</f>
        <v>0</v>
      </c>
      <c r="I33" s="384"/>
      <c r="J33" s="35"/>
      <c r="K33" s="378"/>
    </row>
    <row r="34" spans="1:11" s="29" customFormat="1" ht="15" customHeight="1">
      <c r="A34" s="28"/>
      <c r="B34" s="69">
        <v>2</v>
      </c>
      <c r="C34" s="42">
        <v>15</v>
      </c>
      <c r="D34" s="63">
        <v>15</v>
      </c>
      <c r="E34" s="250">
        <f>IF(D34="",0,ROUND(($C34-IF(D34&gt;$C34,$C34,D34))/$C34*1,Round))</f>
        <v>0</v>
      </c>
      <c r="F34" s="385"/>
      <c r="G34" s="77">
        <f>IF(F34="",0,ROUND(($C34-IF(F34&gt;$C34,$C34,F34))/$C34*1,Round))</f>
        <v>0</v>
      </c>
    </row>
    <row r="35" spans="1:11" s="29" customFormat="1" ht="15" customHeight="1">
      <c r="A35" s="28"/>
      <c r="B35" s="69">
        <v>1</v>
      </c>
      <c r="C35" s="42">
        <v>20</v>
      </c>
      <c r="D35" s="63">
        <v>0</v>
      </c>
      <c r="E35" s="250">
        <f>IF(D35="",0,ROUND(($C35-IF(D35&gt;$C35,$C35,D35))/$C35*1,Round))</f>
        <v>1</v>
      </c>
      <c r="F35" s="386"/>
      <c r="G35" s="77">
        <f>IF(F35="",0,ROUND(($C35-IF(F35&gt;$C35,$C35,F35))/$C35*1,Round))</f>
        <v>0</v>
      </c>
    </row>
    <row r="36" spans="1:11" s="29" customFormat="1" ht="15" customHeight="1">
      <c r="A36" s="28"/>
      <c r="B36" s="69">
        <v>2</v>
      </c>
      <c r="C36" s="42">
        <v>25</v>
      </c>
      <c r="D36" s="63">
        <v>0</v>
      </c>
      <c r="E36" s="250">
        <f>IF(D36="",0,ROUND(($C36-IF(D36&gt;$C36,$C36,D36))/$C36*1,Round))</f>
        <v>1</v>
      </c>
      <c r="F36" s="386"/>
      <c r="G36" s="77">
        <f>IF(F36="",0,ROUND(($C36-IF(F36&gt;$C36,$C36,F36))/$C36*1,Round))</f>
        <v>0</v>
      </c>
    </row>
    <row r="37" spans="1:11" s="29" customFormat="1" ht="15" customHeight="1">
      <c r="A37" s="28"/>
      <c r="B37" s="69">
        <v>2</v>
      </c>
      <c r="C37" s="42">
        <v>30</v>
      </c>
      <c r="D37" s="63">
        <v>0</v>
      </c>
      <c r="E37" s="250">
        <f>IF(D37="",0,ROUND(($C37-IF(D37&gt;$C37,$C37,D37))/$C37*2,Round))</f>
        <v>2</v>
      </c>
      <c r="F37" s="386"/>
      <c r="G37" s="77">
        <f>IF(F37="",0,ROUND(($C37-IF(F37&gt;$C37,$C37,F37))/$C37*1,Round))</f>
        <v>0</v>
      </c>
    </row>
    <row r="38" spans="1:11" s="29" customFormat="1" ht="15" customHeight="1">
      <c r="A38" s="28"/>
      <c r="B38" s="69">
        <v>3</v>
      </c>
      <c r="C38" s="42">
        <v>35</v>
      </c>
      <c r="D38" s="63">
        <v>0</v>
      </c>
      <c r="E38" s="250">
        <f>IF(D38="",0,ROUND(($C38-IF(D38&gt;$C38,$C38,D38))/$C38*3,Round))</f>
        <v>3</v>
      </c>
      <c r="F38" s="386"/>
      <c r="G38" s="77">
        <f>IF(F38="",0,ROUND(($C38-IF(F38&gt;$C38,$C38,F38))/$C38*2,Round))</f>
        <v>0</v>
      </c>
    </row>
    <row r="39" spans="1:11" s="29" customFormat="1" ht="15" customHeight="1">
      <c r="A39" s="28"/>
      <c r="B39" s="69">
        <v>3</v>
      </c>
      <c r="C39" s="42">
        <v>40</v>
      </c>
      <c r="D39" s="63">
        <v>0</v>
      </c>
      <c r="E39" s="250">
        <f>IF(D39="",0,ROUND(($C39-IF(D39&gt;$C39,$C39,D39))/$C39*3,Round))</f>
        <v>3</v>
      </c>
      <c r="F39" s="386"/>
      <c r="G39" s="77">
        <f>IF(F39="",0,ROUND(($C39-IF(F39&gt;$C39,$C39,F39))/$C39*2,Round))</f>
        <v>0</v>
      </c>
    </row>
    <row r="40" spans="1:11" s="29" customFormat="1" ht="15" customHeight="1">
      <c r="A40" s="28"/>
      <c r="B40" s="31"/>
      <c r="C40" s="42">
        <v>45</v>
      </c>
      <c r="D40" s="63">
        <v>0</v>
      </c>
      <c r="E40" s="250">
        <f>IF(D40="",0,IF(D40&lt;=(C40-20),3,0))</f>
        <v>3</v>
      </c>
      <c r="F40" s="386"/>
      <c r="G40" s="77">
        <f>IF(F40="",0,IF(F40&lt;=(C40-20),3,0))</f>
        <v>0</v>
      </c>
    </row>
    <row r="41" spans="1:11" s="29" customFormat="1" ht="15" customHeight="1">
      <c r="A41" s="28"/>
      <c r="B41" s="31"/>
      <c r="C41" s="42">
        <v>50</v>
      </c>
      <c r="D41" s="63">
        <v>0</v>
      </c>
      <c r="E41" s="250">
        <f>IF(D41="",0,IF(D41&lt;=(C41-20),2,0))</f>
        <v>2</v>
      </c>
      <c r="F41" s="386"/>
      <c r="G41" s="77">
        <f>IF(F41="",0,IF(F41&lt;=(C41-20),3,0))</f>
        <v>0</v>
      </c>
    </row>
    <row r="42" spans="1:11" s="29" customFormat="1" ht="15" customHeight="1">
      <c r="A42" s="28"/>
      <c r="B42" s="31"/>
      <c r="C42" s="42">
        <v>55</v>
      </c>
      <c r="D42" s="63">
        <v>16.260000000000002</v>
      </c>
      <c r="E42" s="250">
        <f>IF(D42="",0,IF(D42&lt;=(C42-20),2,0))</f>
        <v>2</v>
      </c>
      <c r="F42" s="386"/>
      <c r="G42" s="77">
        <f>IF(F42="",0,IF(F42&lt;=(C42-20),3,0))</f>
        <v>0</v>
      </c>
    </row>
    <row r="43" spans="1:11" s="29" customFormat="1" ht="15" customHeight="1" thickBot="1">
      <c r="A43" s="28"/>
      <c r="B43" s="31"/>
      <c r="C43" s="42">
        <v>60</v>
      </c>
      <c r="D43" s="63">
        <v>25.12</v>
      </c>
      <c r="E43" s="250">
        <f>IF(D43="",0,IF(D43&lt;=(C43-20),1,0))</f>
        <v>1</v>
      </c>
      <c r="F43" s="386"/>
      <c r="G43" s="77">
        <f>IF(F43="",0,IF(F43&lt;=(C43-20),2,0))</f>
        <v>0</v>
      </c>
    </row>
    <row r="44" spans="1:11" s="29" customFormat="1" ht="15" customHeight="1" thickBot="1">
      <c r="A44" s="28"/>
      <c r="B44" s="511" t="s">
        <v>110</v>
      </c>
      <c r="C44" s="512"/>
      <c r="D44" s="513">
        <f>IF((COUNTBLANK(D33:D39)+COUNTBLANK(D40:D43))&gt;0,0,SUM(E33:E39,E40:E43))</f>
        <v>18</v>
      </c>
      <c r="E44" s="514"/>
      <c r="F44" s="515">
        <f>IF((COUNTBLANK(F33:F39)+COUNTBLANK(F40:F43))&gt;0,0,SUM(G33:G39,G40:G43))</f>
        <v>0</v>
      </c>
      <c r="G44" s="516"/>
    </row>
    <row r="45" spans="1:11" s="29" customFormat="1" ht="15" customHeight="1" thickBot="1">
      <c r="A45" s="28"/>
      <c r="B45" s="28"/>
      <c r="C45" s="30"/>
      <c r="D45" s="28"/>
      <c r="E45" s="28"/>
      <c r="F45" s="28"/>
      <c r="G45" s="28"/>
    </row>
    <row r="46" spans="1:11" s="29" customFormat="1" ht="15" customHeight="1">
      <c r="A46" s="28"/>
      <c r="B46" s="33" t="s">
        <v>111</v>
      </c>
      <c r="C46" s="34"/>
      <c r="D46" s="499"/>
      <c r="E46" s="500"/>
      <c r="F46" s="501"/>
      <c r="G46" s="502"/>
    </row>
    <row r="47" spans="1:11" s="29" customFormat="1" ht="15" customHeight="1">
      <c r="A47" s="28"/>
      <c r="B47" s="69">
        <v>1</v>
      </c>
      <c r="C47" s="42">
        <v>10</v>
      </c>
      <c r="D47" s="63">
        <v>10</v>
      </c>
      <c r="E47" s="250">
        <f>IF(D47="",0,ROUND(($C47-IF(D47&gt;$C47,$C47,D47))/$C47*1,Round))</f>
        <v>0</v>
      </c>
      <c r="F47" s="386"/>
      <c r="G47" s="77">
        <f>IF(F47="",0,ROUND(($C47-IF(F47&gt;$C47,$C47,F47))/$C47*1,Round))</f>
        <v>0</v>
      </c>
    </row>
    <row r="48" spans="1:11" s="29" customFormat="1" ht="15" customHeight="1">
      <c r="A48" s="28"/>
      <c r="B48" s="69">
        <v>1</v>
      </c>
      <c r="C48" s="42">
        <v>15</v>
      </c>
      <c r="D48" s="63">
        <v>15</v>
      </c>
      <c r="E48" s="250">
        <f>IF(D48="",0,ROUND(($C48-IF(D48&gt;$C48,$C48,D48))/$C48*1,Round))</f>
        <v>0</v>
      </c>
      <c r="F48" s="385"/>
      <c r="G48" s="77">
        <f>IF(F48="",0,ROUND(($C48-IF(F48&gt;$C48,$C48,F48))/$C48*1,Round))</f>
        <v>0</v>
      </c>
    </row>
    <row r="49" spans="1:7" s="29" customFormat="1" ht="15" customHeight="1">
      <c r="A49" s="28"/>
      <c r="B49" s="69">
        <v>2</v>
      </c>
      <c r="C49" s="42">
        <v>20</v>
      </c>
      <c r="D49" s="63">
        <v>0</v>
      </c>
      <c r="E49" s="250">
        <f>IF(D49="",0,ROUND(($C49-IF(D49&gt;$C49,$C49,D49))/$C49*1,Round))</f>
        <v>1</v>
      </c>
      <c r="F49" s="385"/>
      <c r="G49" s="77">
        <f>IF(F49="",0,ROUND(($C49-IF(F49&gt;$C49,$C49,F49))/$C49*1,Round))</f>
        <v>0</v>
      </c>
    </row>
    <row r="50" spans="1:7" s="29" customFormat="1" ht="15" customHeight="1">
      <c r="A50" s="28"/>
      <c r="B50" s="69">
        <v>2</v>
      </c>
      <c r="C50" s="42">
        <v>25</v>
      </c>
      <c r="D50" s="63">
        <v>0</v>
      </c>
      <c r="E50" s="250">
        <f>IF(D50="",0,ROUND(($C50-IF(D50&gt;$C50,$C50,D50))/$C50*1,Round))</f>
        <v>1</v>
      </c>
      <c r="F50" s="386"/>
      <c r="G50" s="77">
        <f>IF(F50="",0,ROUND(($C50-IF(F50&gt;$C50,$C50,F50))/$C50*1,Round))</f>
        <v>0</v>
      </c>
    </row>
    <row r="51" spans="1:7" s="29" customFormat="1" ht="15" customHeight="1">
      <c r="A51" s="28"/>
      <c r="B51" s="69">
        <v>2</v>
      </c>
      <c r="C51" s="42">
        <v>30</v>
      </c>
      <c r="D51" s="63">
        <v>0</v>
      </c>
      <c r="E51" s="250">
        <f>IF(D51="",0,ROUND(($C51-IF(D51&gt;$C51,$C51,D51))/$C51*2,Round))</f>
        <v>2</v>
      </c>
      <c r="F51" s="386"/>
      <c r="G51" s="77">
        <f>IF(F51="",0,ROUND(($C51-IF(F51&gt;$C51,$C51,F51))/$C51*1,Round))</f>
        <v>0</v>
      </c>
    </row>
    <row r="52" spans="1:7" s="29" customFormat="1" ht="15" customHeight="1">
      <c r="A52" s="28"/>
      <c r="B52" s="69">
        <v>3</v>
      </c>
      <c r="C52" s="42">
        <v>35</v>
      </c>
      <c r="D52" s="63">
        <v>0</v>
      </c>
      <c r="E52" s="250">
        <f>IF(D52="",0,ROUND(($C52-IF(D52&gt;$C52,$C52,D52))/$C52*3,Round))</f>
        <v>3</v>
      </c>
      <c r="F52" s="386"/>
      <c r="G52" s="77">
        <f>IF(F52="",0,ROUND(($C52-IF(F52&gt;$C52,$C52,F52))/$C52*2,Round))</f>
        <v>0</v>
      </c>
    </row>
    <row r="53" spans="1:7" s="29" customFormat="1" ht="15" customHeight="1">
      <c r="A53" s="28"/>
      <c r="B53" s="69">
        <v>3</v>
      </c>
      <c r="C53" s="42">
        <v>40</v>
      </c>
      <c r="D53" s="63">
        <v>0</v>
      </c>
      <c r="E53" s="250">
        <f>IF(D53="",0,ROUND(($C53-IF(D53&gt;$C53,$C53,D53))/$C53*3,Round))</f>
        <v>3</v>
      </c>
      <c r="F53" s="386"/>
      <c r="G53" s="77">
        <f>IF(F53="",0,ROUND(($C53-IF(F53&gt;$C53,$C53,F53))/$C53*2,Round))</f>
        <v>0</v>
      </c>
    </row>
    <row r="54" spans="1:7" s="29" customFormat="1" ht="15" customHeight="1">
      <c r="A54" s="28"/>
      <c r="B54" s="31"/>
      <c r="C54" s="42">
        <v>45</v>
      </c>
      <c r="D54" s="63">
        <v>0</v>
      </c>
      <c r="E54" s="250">
        <f>IF(D54="",0,IF(D54&lt;=(C54-20),3,0))</f>
        <v>3</v>
      </c>
      <c r="F54" s="386"/>
      <c r="G54" s="77">
        <f>IF(F54="",0,IF(F54&lt;=(C54-20),3,0))</f>
        <v>0</v>
      </c>
    </row>
    <row r="55" spans="1:7" s="29" customFormat="1" ht="15" customHeight="1">
      <c r="A55" s="28"/>
      <c r="B55" s="31"/>
      <c r="C55" s="42">
        <v>50</v>
      </c>
      <c r="D55" s="63">
        <v>0</v>
      </c>
      <c r="E55" s="250">
        <f>IF(D55="",0,IF(D55&lt;=(C55-20),2,0))</f>
        <v>2</v>
      </c>
      <c r="F55" s="386"/>
      <c r="G55" s="77">
        <f>IF(F55="",0,IF(F55&lt;=(C55-20),3,0))</f>
        <v>0</v>
      </c>
    </row>
    <row r="56" spans="1:7" s="29" customFormat="1" ht="15" customHeight="1">
      <c r="A56" s="28"/>
      <c r="B56" s="31"/>
      <c r="C56" s="42">
        <v>55</v>
      </c>
      <c r="D56" s="63">
        <v>12.15</v>
      </c>
      <c r="E56" s="250">
        <f>IF(D56="",0,IF(D56&lt;=(C56-20),2,0))</f>
        <v>2</v>
      </c>
      <c r="F56" s="386"/>
      <c r="G56" s="77">
        <f>IF(F56="",0,IF(F56&lt;=(C56-20),3,0))</f>
        <v>0</v>
      </c>
    </row>
    <row r="57" spans="1:7" s="29" customFormat="1" ht="15" customHeight="1" thickBot="1">
      <c r="A57" s="28"/>
      <c r="B57" s="31"/>
      <c r="C57" s="42">
        <v>60</v>
      </c>
      <c r="D57" s="63">
        <v>22.59</v>
      </c>
      <c r="E57" s="250">
        <f>IF(D57="",0,IF(D57&lt;=(C57-20),1,0))</f>
        <v>1</v>
      </c>
      <c r="F57" s="386"/>
      <c r="G57" s="77">
        <f>IF(F57="",0,IF(F57&lt;=(C57-20),2,0))</f>
        <v>0</v>
      </c>
    </row>
    <row r="58" spans="1:7" s="29" customFormat="1" ht="15" customHeight="1" thickBot="1">
      <c r="A58" s="28"/>
      <c r="B58" s="511" t="s">
        <v>112</v>
      </c>
      <c r="C58" s="512"/>
      <c r="D58" s="513">
        <f>IF((COUNTBLANK(D47:D53)+COUNTBLANK(D54:D57))&gt;0,0,SUM(E47:E53,E54:E57))</f>
        <v>18</v>
      </c>
      <c r="E58" s="514"/>
      <c r="F58" s="515">
        <f>IF((COUNTBLANK(F47:F53)+COUNTBLANK(F54:F57))&gt;0,0,SUM(G47:G53,G54:G57))</f>
        <v>0</v>
      </c>
      <c r="G58" s="516"/>
    </row>
    <row r="59" spans="1:7" s="29" customFormat="1" ht="15" customHeight="1" thickBot="1">
      <c r="A59" s="28"/>
      <c r="B59" s="28"/>
      <c r="C59" s="30"/>
      <c r="D59" s="28"/>
      <c r="E59" s="28"/>
      <c r="F59" s="28"/>
      <c r="G59" s="28"/>
    </row>
    <row r="60" spans="1:7" s="29" customFormat="1" ht="15" customHeight="1">
      <c r="A60" s="28"/>
      <c r="B60" s="33" t="s">
        <v>113</v>
      </c>
      <c r="C60" s="34"/>
      <c r="D60" s="499"/>
      <c r="E60" s="500"/>
      <c r="F60" s="501"/>
      <c r="G60" s="502"/>
    </row>
    <row r="61" spans="1:7" s="29" customFormat="1" ht="15" customHeight="1">
      <c r="A61" s="28"/>
      <c r="B61" s="69">
        <v>1</v>
      </c>
      <c r="C61" s="42">
        <v>10</v>
      </c>
      <c r="D61" s="63">
        <v>10</v>
      </c>
      <c r="E61" s="250">
        <f>IF(D61="",0,ROUND(($C61-IF(D61&gt;$C61,$C61,D61))/$C61*1,Round))</f>
        <v>0</v>
      </c>
      <c r="F61" s="503"/>
      <c r="G61" s="489"/>
    </row>
    <row r="62" spans="1:7" s="29" customFormat="1" ht="15" customHeight="1">
      <c r="A62" s="28"/>
      <c r="B62" s="69">
        <v>2</v>
      </c>
      <c r="C62" s="42">
        <v>15</v>
      </c>
      <c r="D62" s="63">
        <v>15</v>
      </c>
      <c r="E62" s="250">
        <f>IF(D62="",0,ROUND(($C62-IF(D62&gt;$C62,$C62,D62))/$C62*1,Round))</f>
        <v>0</v>
      </c>
      <c r="F62" s="503"/>
      <c r="G62" s="489"/>
    </row>
    <row r="63" spans="1:7" s="29" customFormat="1" ht="15" customHeight="1">
      <c r="A63" s="28"/>
      <c r="B63" s="69">
        <v>2</v>
      </c>
      <c r="C63" s="42">
        <v>20</v>
      </c>
      <c r="D63" s="63">
        <v>0</v>
      </c>
      <c r="E63" s="250">
        <f>IF(D63="",0,ROUND(($C63-IF(D63&gt;$C63,$C63,D63))/$C63*1,Round))</f>
        <v>1</v>
      </c>
      <c r="F63" s="503"/>
      <c r="G63" s="489"/>
    </row>
    <row r="64" spans="1:7" s="29" customFormat="1" ht="15" customHeight="1">
      <c r="A64" s="28"/>
      <c r="B64" s="69">
        <v>2</v>
      </c>
      <c r="C64" s="42">
        <v>25</v>
      </c>
      <c r="D64" s="63">
        <v>0</v>
      </c>
      <c r="E64" s="250">
        <f>IF(D64="",0,ROUND(($C64-IF(D64&gt;$C64,$C64,D64))/$C64*1,Round))</f>
        <v>1</v>
      </c>
      <c r="F64" s="503"/>
      <c r="G64" s="489"/>
    </row>
    <row r="65" spans="1:9" s="29" customFormat="1" ht="15" customHeight="1">
      <c r="A65" s="28"/>
      <c r="B65" s="69">
        <v>2</v>
      </c>
      <c r="C65" s="42">
        <v>30</v>
      </c>
      <c r="D65" s="63">
        <v>0</v>
      </c>
      <c r="E65" s="250">
        <f>IF(D65="",0,ROUND(($C65-IF(D65&gt;$C65,$C65,D65))/$C65*2,Round))</f>
        <v>2</v>
      </c>
      <c r="F65" s="503"/>
      <c r="G65" s="489"/>
    </row>
    <row r="66" spans="1:9" s="29" customFormat="1" ht="15" customHeight="1">
      <c r="A66" s="28"/>
      <c r="B66" s="69">
        <v>3</v>
      </c>
      <c r="C66" s="42">
        <v>35</v>
      </c>
      <c r="D66" s="63">
        <v>0</v>
      </c>
      <c r="E66" s="250">
        <f>IF(D66="",0,ROUND(($C66-IF(D66&gt;$C66,$C66,D66))/$C66*3,Round))</f>
        <v>3</v>
      </c>
      <c r="F66" s="503"/>
      <c r="G66" s="489"/>
    </row>
    <row r="67" spans="1:9" s="29" customFormat="1" ht="15" customHeight="1">
      <c r="A67" s="28"/>
      <c r="B67" s="69">
        <v>3</v>
      </c>
      <c r="C67" s="42">
        <v>40</v>
      </c>
      <c r="D67" s="63">
        <v>0</v>
      </c>
      <c r="E67" s="250">
        <f>IF(D67="",0,ROUND(($C67-IF(D67&gt;$C67,$C67,D67))/$C67*3,Round))</f>
        <v>3</v>
      </c>
      <c r="F67" s="503"/>
      <c r="G67" s="489"/>
    </row>
    <row r="68" spans="1:9" s="29" customFormat="1" ht="15" customHeight="1">
      <c r="A68" s="28"/>
      <c r="B68" s="31"/>
      <c r="C68" s="42">
        <v>45</v>
      </c>
      <c r="D68" s="63">
        <v>8.31</v>
      </c>
      <c r="E68" s="250">
        <f>IF(D68="",0,IF(D68&lt;=(C68-20),3,0))</f>
        <v>3</v>
      </c>
      <c r="F68" s="503"/>
      <c r="G68" s="489"/>
    </row>
    <row r="69" spans="1:9" s="29" customFormat="1" ht="15" customHeight="1">
      <c r="A69" s="28"/>
      <c r="B69" s="31"/>
      <c r="C69" s="42">
        <v>50</v>
      </c>
      <c r="D69" s="63">
        <v>23.27</v>
      </c>
      <c r="E69" s="250">
        <f>IF(D69="",0,IF(D69&lt;=(C69-20),2,0))</f>
        <v>2</v>
      </c>
      <c r="F69" s="503"/>
      <c r="G69" s="489"/>
    </row>
    <row r="70" spans="1:9" s="29" customFormat="1" ht="15" customHeight="1">
      <c r="A70" s="28"/>
      <c r="B70" s="31"/>
      <c r="C70" s="42">
        <v>55</v>
      </c>
      <c r="D70" s="63">
        <v>31.57</v>
      </c>
      <c r="E70" s="250">
        <f>IF(D70="",0,IF(D70&lt;=(C70-20),2,0))</f>
        <v>2</v>
      </c>
      <c r="F70" s="503"/>
      <c r="G70" s="489"/>
    </row>
    <row r="71" spans="1:9" s="29" customFormat="1" ht="15" customHeight="1" thickBot="1">
      <c r="A71" s="28"/>
      <c r="B71" s="31"/>
      <c r="C71" s="42">
        <v>60</v>
      </c>
      <c r="D71" s="63">
        <v>27.49</v>
      </c>
      <c r="E71" s="250">
        <f>IF(D71="",0,IF(D71&lt;=(C71-20),1,0))</f>
        <v>1</v>
      </c>
      <c r="F71" s="509"/>
      <c r="G71" s="510"/>
    </row>
    <row r="72" spans="1:9" s="29" customFormat="1" ht="15" customHeight="1" thickBot="1">
      <c r="A72" s="28"/>
      <c r="B72" s="511" t="s">
        <v>114</v>
      </c>
      <c r="C72" s="512"/>
      <c r="D72" s="513">
        <f>IF((COUNTBLANK(D61:D67)+COUNTBLANK(D68:D71))&gt;0,0,SUM(E61:E67,E68:E71))</f>
        <v>18</v>
      </c>
      <c r="E72" s="514"/>
      <c r="F72" s="515"/>
      <c r="G72" s="516"/>
    </row>
    <row r="73" spans="1:9" s="29" customFormat="1" ht="15" customHeight="1" thickBot="1">
      <c r="A73" s="28"/>
      <c r="B73" s="28"/>
      <c r="C73" s="30"/>
      <c r="D73" s="28"/>
      <c r="E73" s="28"/>
      <c r="F73" s="28"/>
      <c r="G73" s="28"/>
    </row>
    <row r="74" spans="1:9" s="29" customFormat="1" ht="15" customHeight="1">
      <c r="A74" s="28"/>
      <c r="B74" s="33" t="s">
        <v>718</v>
      </c>
      <c r="C74" s="64"/>
      <c r="D74" s="252" t="s">
        <v>719</v>
      </c>
      <c r="E74" s="253" t="s">
        <v>720</v>
      </c>
      <c r="F74" s="501"/>
      <c r="G74" s="502"/>
    </row>
    <row r="75" spans="1:9" s="29" customFormat="1" ht="15" customHeight="1">
      <c r="A75" s="28"/>
      <c r="B75" s="69">
        <v>1</v>
      </c>
      <c r="C75" s="254">
        <v>10</v>
      </c>
      <c r="D75" s="255"/>
      <c r="E75" s="251"/>
      <c r="F75" s="503"/>
      <c r="G75" s="489"/>
      <c r="I75" s="61"/>
    </row>
    <row r="76" spans="1:9" s="29" customFormat="1" ht="15" customHeight="1">
      <c r="A76" s="28"/>
      <c r="B76" s="69">
        <v>2</v>
      </c>
      <c r="C76" s="254">
        <v>15</v>
      </c>
      <c r="D76" s="255"/>
      <c r="E76" s="250"/>
      <c r="F76" s="503"/>
      <c r="G76" s="489"/>
    </row>
    <row r="77" spans="1:9" s="29" customFormat="1" ht="15" customHeight="1" thickBot="1">
      <c r="A77" s="28"/>
      <c r="B77" s="69">
        <v>2</v>
      </c>
      <c r="C77" s="254">
        <v>20</v>
      </c>
      <c r="D77" s="256"/>
      <c r="E77" s="250"/>
      <c r="F77" s="503"/>
      <c r="G77" s="489"/>
    </row>
    <row r="78" spans="1:9" s="29" customFormat="1" ht="15" customHeight="1" thickBot="1">
      <c r="A78" s="28"/>
      <c r="B78" s="511" t="s">
        <v>721</v>
      </c>
      <c r="C78" s="517"/>
      <c r="D78" s="513">
        <f>IF((COUNTBLANK(D75:D77)+COUNTBLANK(E75)&gt;0),0,COUNTIF(D75:D77,"=0")+COUNTIF(E75,"=0"))</f>
        <v>0</v>
      </c>
      <c r="E78" s="514"/>
      <c r="F78" s="515"/>
      <c r="G78" s="516"/>
    </row>
    <row r="79" spans="1:9" s="29" customFormat="1" ht="15" customHeight="1" thickBot="1">
      <c r="A79" s="28"/>
      <c r="B79" s="28"/>
      <c r="C79" s="30"/>
      <c r="D79" s="28"/>
      <c r="E79" s="28"/>
      <c r="F79" s="28"/>
      <c r="G79" s="28"/>
    </row>
    <row r="80" spans="1:9" s="29" customFormat="1" ht="15" customHeight="1">
      <c r="A80" s="28"/>
      <c r="B80" s="33" t="s">
        <v>722</v>
      </c>
      <c r="C80" s="64"/>
      <c r="D80" s="252" t="s">
        <v>723</v>
      </c>
      <c r="E80" s="253" t="s">
        <v>724</v>
      </c>
      <c r="F80" s="501"/>
      <c r="G80" s="502"/>
    </row>
    <row r="81" spans="1:9" s="29" customFormat="1" ht="15" customHeight="1">
      <c r="A81" s="28"/>
      <c r="B81" s="31"/>
      <c r="C81" s="257" t="s">
        <v>725</v>
      </c>
      <c r="D81" s="258"/>
      <c r="E81" s="235"/>
      <c r="F81" s="488"/>
      <c r="G81" s="489"/>
    </row>
    <row r="82" spans="1:9" s="29" customFormat="1" ht="15" customHeight="1">
      <c r="A82" s="28"/>
      <c r="B82" s="69">
        <v>1</v>
      </c>
      <c r="C82" s="254" t="s">
        <v>726</v>
      </c>
      <c r="D82" s="255"/>
      <c r="E82" s="250"/>
      <c r="F82" s="488"/>
      <c r="G82" s="489"/>
    </row>
    <row r="83" spans="1:9" s="29" customFormat="1" ht="15" customHeight="1">
      <c r="A83" s="28"/>
      <c r="B83" s="69">
        <v>2</v>
      </c>
      <c r="C83" s="254" t="s">
        <v>727</v>
      </c>
      <c r="D83" s="255"/>
      <c r="E83" s="259"/>
      <c r="F83" s="488"/>
      <c r="G83" s="489"/>
    </row>
    <row r="84" spans="1:9" s="29" customFormat="1" ht="15" customHeight="1">
      <c r="A84" s="28"/>
      <c r="B84" s="69">
        <v>2</v>
      </c>
      <c r="C84" s="254" t="s">
        <v>728</v>
      </c>
      <c r="D84" s="255"/>
      <c r="E84" s="250"/>
      <c r="F84" s="488"/>
      <c r="G84" s="489"/>
    </row>
    <row r="85" spans="1:9" s="29" customFormat="1" ht="15" customHeight="1">
      <c r="A85" s="28"/>
      <c r="B85" s="31"/>
      <c r="C85" s="257" t="s">
        <v>729</v>
      </c>
      <c r="D85" s="260"/>
      <c r="E85" s="261"/>
      <c r="F85" s="488"/>
      <c r="G85" s="489"/>
    </row>
    <row r="86" spans="1:9" s="29" customFormat="1" ht="15" customHeight="1">
      <c r="A86" s="28"/>
      <c r="B86" s="69">
        <v>1</v>
      </c>
      <c r="C86" s="254" t="s">
        <v>726</v>
      </c>
      <c r="D86" s="255"/>
      <c r="E86" s="250"/>
      <c r="F86" s="488"/>
      <c r="G86" s="489"/>
    </row>
    <row r="87" spans="1:9" s="29" customFormat="1" ht="15" customHeight="1">
      <c r="A87" s="28"/>
      <c r="B87" s="69">
        <v>2</v>
      </c>
      <c r="C87" s="254" t="s">
        <v>727</v>
      </c>
      <c r="D87" s="255"/>
      <c r="E87" s="259"/>
      <c r="F87" s="488"/>
      <c r="G87" s="489"/>
    </row>
    <row r="88" spans="1:9" s="29" customFormat="1" ht="15" customHeight="1" thickBot="1">
      <c r="A88" s="28"/>
      <c r="B88" s="69">
        <v>2</v>
      </c>
      <c r="C88" s="254" t="s">
        <v>728</v>
      </c>
      <c r="D88" s="255"/>
      <c r="E88" s="250"/>
      <c r="F88" s="488"/>
      <c r="G88" s="489"/>
    </row>
    <row r="89" spans="1:9" s="29" customFormat="1" ht="15" customHeight="1" thickBot="1">
      <c r="A89" s="28"/>
      <c r="B89" s="511" t="s">
        <v>730</v>
      </c>
      <c r="C89" s="517"/>
      <c r="D89" s="513">
        <f>IF(COUNTIF(D82:D84,"=0")=3,1,0)+IF(COUNTIF(E83,"=0")=1,1,0)+IF(COUNTIF(D86:D88,"=0")=3,1,0)+IF(COUNTIF(E87,"=0")=1,1,0)</f>
        <v>0</v>
      </c>
      <c r="E89" s="514"/>
      <c r="F89" s="515"/>
      <c r="G89" s="516"/>
    </row>
    <row r="90" spans="1:9" s="29" customFormat="1" ht="15" customHeight="1" thickBot="1">
      <c r="A90" s="28"/>
      <c r="B90" s="28"/>
      <c r="C90" s="30"/>
      <c r="D90" s="28"/>
      <c r="E90" s="28"/>
      <c r="F90" s="28"/>
      <c r="G90" s="28"/>
    </row>
    <row r="91" spans="1:9" s="29" customFormat="1" ht="15" customHeight="1">
      <c r="A91" s="28"/>
      <c r="B91" s="33" t="s">
        <v>115</v>
      </c>
      <c r="C91" s="34"/>
      <c r="D91" s="499"/>
      <c r="E91" s="500"/>
      <c r="F91" s="501"/>
      <c r="G91" s="502"/>
    </row>
    <row r="92" spans="1:9" s="29" customFormat="1" ht="15" customHeight="1">
      <c r="A92" s="28"/>
      <c r="B92" s="69">
        <v>1</v>
      </c>
      <c r="C92" s="42">
        <v>20</v>
      </c>
      <c r="D92" s="63">
        <v>15.12</v>
      </c>
      <c r="E92" s="250">
        <f>IF(D92="",0,ROUND((($C92-5)-(IF(D92&lt;=5,5,IF(D92&gt;$C92,$C92,D92))-5))/($C92-5)*$B92,Round))</f>
        <v>0.32500000000000001</v>
      </c>
      <c r="F92" s="386"/>
      <c r="G92" s="77">
        <f>IF(F92="",0,ROUND((($C92-5)-(IF(F92&lt;=5,5,IF(F92&gt;$C92,$C92,F92))-5))/($C92-5)*$B92,Round))</f>
        <v>0</v>
      </c>
      <c r="I92" s="29" t="s">
        <v>822</v>
      </c>
    </row>
    <row r="93" spans="1:9" s="29" customFormat="1" ht="15" customHeight="1">
      <c r="A93" s="28"/>
      <c r="B93" s="69">
        <v>1</v>
      </c>
      <c r="C93" s="42">
        <v>25</v>
      </c>
      <c r="D93" s="63">
        <v>25.2</v>
      </c>
      <c r="E93" s="250">
        <f>IF(D93="",0,ROUND((($C93-5)-(IF(D93&lt;=5,5,IF(D93&gt;$C93,$C93,D93))-5))/($C93-5)*$B93,Round))</f>
        <v>0</v>
      </c>
      <c r="F93" s="386"/>
      <c r="G93" s="77">
        <f>IF(F93="",0,ROUND((($C93-5)-(IF(F93&lt;=5,5,IF(F93&gt;$C93,$C93,F93))-5))/($C93-5)*$B93,Round))</f>
        <v>0</v>
      </c>
    </row>
    <row r="94" spans="1:9" s="29" customFormat="1" ht="15" customHeight="1">
      <c r="A94" s="28"/>
      <c r="B94" s="69">
        <v>1</v>
      </c>
      <c r="C94" s="42">
        <v>30</v>
      </c>
      <c r="D94" s="63">
        <v>0</v>
      </c>
      <c r="E94" s="250">
        <f>IF(D94="",0,ROUND((($C94-5)-(IF(D94&lt;=5,5,IF(D94&gt;$C94,$C94,D94))-5))/($C94-5)*$B94,Round))</f>
        <v>1</v>
      </c>
      <c r="F94" s="386"/>
      <c r="G94" s="77">
        <f>IF(F94="",0,ROUND((($C94-5)-(IF(F94&lt;=5,5,IF(F94&gt;$C94,$C94,F94))-5))/($C94-5)*$B94,Round))</f>
        <v>0</v>
      </c>
    </row>
    <row r="95" spans="1:9" s="29" customFormat="1" ht="15" customHeight="1">
      <c r="A95" s="28"/>
      <c r="B95" s="69">
        <v>2</v>
      </c>
      <c r="C95" s="42">
        <v>35</v>
      </c>
      <c r="D95" s="63">
        <v>0</v>
      </c>
      <c r="E95" s="250">
        <f>IF(D95="",0,ROUND((($C95-5)-(IF(D95&lt;=5,5,IF(D95&gt;$C95,$C95,D95))-5))/($C95-5)*$B95,Round))</f>
        <v>2</v>
      </c>
      <c r="F95" s="386"/>
      <c r="G95" s="77">
        <f>IF(F95="",0,ROUND((($C95-5)-(IF(F95&lt;=5,5,IF(F95&gt;$C95,$C95,F95))-5))/($C95-5)*$B95,Round))</f>
        <v>0</v>
      </c>
    </row>
    <row r="96" spans="1:9" s="29" customFormat="1" ht="15" customHeight="1">
      <c r="A96" s="28"/>
      <c r="B96" s="69">
        <v>2</v>
      </c>
      <c r="C96" s="42">
        <v>40</v>
      </c>
      <c r="D96" s="63">
        <v>0</v>
      </c>
      <c r="E96" s="250">
        <f>IF(D96="",0,ROUND((($C96-5)-(IF(D96&lt;=5,5,IF(D96&gt;$C96,$C96,D96))-5))/($C96-5)*$B96,Round))</f>
        <v>2</v>
      </c>
      <c r="F96" s="386"/>
      <c r="G96" s="77">
        <f>IF(F96="",0,ROUND((($C96-5)-(IF(F96&lt;=5,5,IF(F96&gt;$C96,$C96,F96))-5))/($C96-5)*$B96,Round))</f>
        <v>0</v>
      </c>
    </row>
    <row r="97" spans="1:7" s="29" customFormat="1" ht="15" customHeight="1">
      <c r="A97" s="28"/>
      <c r="B97" s="89">
        <v>3</v>
      </c>
      <c r="C97" s="42">
        <v>45</v>
      </c>
      <c r="D97" s="63">
        <v>0</v>
      </c>
      <c r="E97" s="250">
        <f>IF(D97="",0,IF(D97&lt;=(C97-20),$B97,0))</f>
        <v>3</v>
      </c>
      <c r="F97" s="386"/>
      <c r="G97" s="77">
        <f>IF(F97="",0,IF(F97&lt;=($C97-20),$B97,0))</f>
        <v>0</v>
      </c>
    </row>
    <row r="98" spans="1:7" s="29" customFormat="1" ht="15" customHeight="1">
      <c r="A98" s="28"/>
      <c r="B98" s="89">
        <v>3</v>
      </c>
      <c r="C98" s="42">
        <v>50</v>
      </c>
      <c r="D98" s="63">
        <v>0</v>
      </c>
      <c r="E98" s="250">
        <f>IF(D98="",0,IF(D98&lt;=(C98-20),$B98,0))</f>
        <v>3</v>
      </c>
      <c r="F98" s="386"/>
      <c r="G98" s="77">
        <f>IF(F98="",0,IF(F98&lt;=($C98-20),$B98,0))</f>
        <v>0</v>
      </c>
    </row>
    <row r="99" spans="1:7" s="29" customFormat="1" ht="15" customHeight="1">
      <c r="A99" s="28"/>
      <c r="B99" s="89">
        <v>3</v>
      </c>
      <c r="C99" s="42">
        <v>55</v>
      </c>
      <c r="D99" s="63">
        <v>18.52</v>
      </c>
      <c r="E99" s="250">
        <f>IF(D99="",0,IF(D99&lt;=(C99-20),$B99,0))</f>
        <v>3</v>
      </c>
      <c r="F99" s="386"/>
      <c r="G99" s="77">
        <f>IF(F99="",0,IF(F99&lt;=($C99-20),$B99,0))</f>
        <v>0</v>
      </c>
    </row>
    <row r="100" spans="1:7" s="29" customFormat="1" ht="15" customHeight="1" thickBot="1">
      <c r="A100" s="28"/>
      <c r="B100" s="89">
        <v>2</v>
      </c>
      <c r="C100" s="42">
        <v>60</v>
      </c>
      <c r="D100" s="63">
        <v>31.14</v>
      </c>
      <c r="E100" s="250">
        <f>IF(D100="",0,IF(D100&lt;=(C100-20),$B100,0))</f>
        <v>2</v>
      </c>
      <c r="F100" s="386"/>
      <c r="G100" s="77">
        <f>IF(F100="",0,IF(F100&lt;=($C100-20),$B100,0))</f>
        <v>0</v>
      </c>
    </row>
    <row r="101" spans="1:7" s="29" customFormat="1" ht="15" customHeight="1" thickBot="1">
      <c r="A101" s="28"/>
      <c r="B101" s="511" t="s">
        <v>116</v>
      </c>
      <c r="C101" s="512"/>
      <c r="D101" s="513">
        <f>IF((COUNTBLANK(D92:D96)+COUNTBLANK(D97:D100))&gt;0,0,SUM(E92:E96,E97:E100))</f>
        <v>16.324999999999999</v>
      </c>
      <c r="E101" s="514"/>
      <c r="F101" s="515">
        <f>IF((COUNTBLANK(F92:F96)+COUNTBLANK(F97:F100))&gt;0,0,SUM(G92:G96,G97:G100))</f>
        <v>0</v>
      </c>
      <c r="G101" s="516"/>
    </row>
    <row r="102" spans="1:7" s="29" customFormat="1" ht="15" customHeight="1" thickBot="1">
      <c r="A102" s="28"/>
      <c r="B102" s="28"/>
      <c r="C102" s="30"/>
      <c r="D102" s="28"/>
      <c r="E102" s="28"/>
      <c r="F102" s="28"/>
      <c r="G102" s="28"/>
    </row>
    <row r="103" spans="1:7" s="29" customFormat="1" ht="15" customHeight="1">
      <c r="A103" s="28"/>
      <c r="B103" s="33" t="s">
        <v>117</v>
      </c>
      <c r="C103" s="34"/>
      <c r="D103" s="81" t="s">
        <v>118</v>
      </c>
      <c r="E103" s="236" t="s">
        <v>10</v>
      </c>
      <c r="F103" s="234" t="s">
        <v>118</v>
      </c>
      <c r="G103" s="82" t="s">
        <v>10</v>
      </c>
    </row>
    <row r="104" spans="1:7" s="29" customFormat="1" ht="15" customHeight="1">
      <c r="A104" s="28"/>
      <c r="B104" s="89">
        <v>3</v>
      </c>
      <c r="C104" s="42">
        <v>50</v>
      </c>
      <c r="D104" s="63">
        <v>1.87</v>
      </c>
      <c r="E104" s="250">
        <f t="shared" ref="E104:E110" si="0">IF(D104="",0,IF(D104&gt;=1.7,$B104,0))</f>
        <v>3</v>
      </c>
      <c r="F104" s="386"/>
      <c r="G104" s="77">
        <f t="shared" ref="G104:G110" si="1">IF(F104="",0,IF(F104&gt;=1.7,$B104,0))</f>
        <v>0</v>
      </c>
    </row>
    <row r="105" spans="1:7" s="29" customFormat="1" ht="15" customHeight="1">
      <c r="A105" s="28"/>
      <c r="B105" s="89">
        <v>3</v>
      </c>
      <c r="C105" s="42">
        <v>55</v>
      </c>
      <c r="D105" s="63">
        <v>1.7</v>
      </c>
      <c r="E105" s="250">
        <f t="shared" si="0"/>
        <v>3</v>
      </c>
      <c r="F105" s="386"/>
      <c r="G105" s="77">
        <f t="shared" si="1"/>
        <v>0</v>
      </c>
    </row>
    <row r="106" spans="1:7" s="29" customFormat="1" ht="15" customHeight="1">
      <c r="A106" s="28"/>
      <c r="B106" s="89">
        <v>2</v>
      </c>
      <c r="C106" s="42">
        <v>60</v>
      </c>
      <c r="D106" s="63">
        <v>2.48</v>
      </c>
      <c r="E106" s="250">
        <f t="shared" si="0"/>
        <v>2</v>
      </c>
      <c r="F106" s="386"/>
      <c r="G106" s="77">
        <f t="shared" si="1"/>
        <v>0</v>
      </c>
    </row>
    <row r="107" spans="1:7" s="29" customFormat="1" ht="15" customHeight="1">
      <c r="A107" s="28"/>
      <c r="B107" s="89">
        <v>1</v>
      </c>
      <c r="C107" s="42">
        <v>65</v>
      </c>
      <c r="D107" s="63">
        <v>1.7</v>
      </c>
      <c r="E107" s="250">
        <f t="shared" si="0"/>
        <v>1</v>
      </c>
      <c r="F107" s="386"/>
      <c r="G107" s="77">
        <f t="shared" si="1"/>
        <v>0</v>
      </c>
    </row>
    <row r="108" spans="1:7" s="29" customFormat="1" ht="15" customHeight="1">
      <c r="A108" s="28"/>
      <c r="B108" s="89">
        <v>1</v>
      </c>
      <c r="C108" s="42">
        <v>70</v>
      </c>
      <c r="D108" s="63">
        <v>2.25</v>
      </c>
      <c r="E108" s="250">
        <f t="shared" si="0"/>
        <v>1</v>
      </c>
      <c r="F108" s="386"/>
      <c r="G108" s="77">
        <f t="shared" si="1"/>
        <v>0</v>
      </c>
    </row>
    <row r="109" spans="1:7" s="29" customFormat="1" ht="15" customHeight="1">
      <c r="A109" s="28"/>
      <c r="B109" s="89">
        <v>1</v>
      </c>
      <c r="C109" s="42">
        <v>75</v>
      </c>
      <c r="D109" s="63">
        <v>1.7</v>
      </c>
      <c r="E109" s="250">
        <f t="shared" si="0"/>
        <v>1</v>
      </c>
      <c r="F109" s="386"/>
      <c r="G109" s="77">
        <f t="shared" si="1"/>
        <v>0</v>
      </c>
    </row>
    <row r="110" spans="1:7" s="29" customFormat="1" ht="15" customHeight="1" thickBot="1">
      <c r="A110" s="28"/>
      <c r="B110" s="89">
        <v>1</v>
      </c>
      <c r="C110" s="42">
        <v>80</v>
      </c>
      <c r="D110" s="63">
        <v>1.92</v>
      </c>
      <c r="E110" s="250">
        <f t="shared" si="0"/>
        <v>1</v>
      </c>
      <c r="F110" s="386"/>
      <c r="G110" s="77">
        <f t="shared" si="1"/>
        <v>0</v>
      </c>
    </row>
    <row r="111" spans="1:7" s="29" customFormat="1" ht="15" customHeight="1" thickBot="1">
      <c r="A111" s="28"/>
      <c r="B111" s="511" t="s">
        <v>119</v>
      </c>
      <c r="C111" s="512"/>
      <c r="D111" s="513">
        <f>IF((COUNTBLANK(D104:D108)+COUNTBLANK(D109:D110))&gt;0,0,SUM(E104:E108,E109:E110))</f>
        <v>12</v>
      </c>
      <c r="E111" s="514"/>
      <c r="F111" s="515">
        <f>IF((COUNTBLANK(F104:F108)+COUNTBLANK(F109:F110))&gt;0,0,SUM(G104:G108,G109:G110))</f>
        <v>0</v>
      </c>
      <c r="G111" s="516"/>
    </row>
    <row r="112" spans="1:7" s="29" customFormat="1" ht="15" customHeight="1" thickBot="1">
      <c r="A112" s="28"/>
      <c r="B112" s="28"/>
      <c r="C112" s="30"/>
      <c r="D112" s="28"/>
      <c r="E112" s="28"/>
      <c r="F112" s="28"/>
      <c r="G112" s="28"/>
    </row>
    <row r="113" spans="1:10" s="29" customFormat="1" ht="15" customHeight="1" thickBot="1">
      <c r="A113" s="28"/>
      <c r="B113" s="481" t="s">
        <v>9</v>
      </c>
      <c r="C113" s="523"/>
      <c r="D113" s="524" t="s">
        <v>120</v>
      </c>
      <c r="E113" s="525"/>
      <c r="F113" s="526" t="s">
        <v>731</v>
      </c>
      <c r="G113" s="527"/>
    </row>
    <row r="114" spans="1:10" s="29" customFormat="1" ht="15" customHeight="1">
      <c r="A114" s="28"/>
      <c r="B114" s="36"/>
      <c r="C114" s="83" t="s">
        <v>107</v>
      </c>
      <c r="D114" s="518">
        <f>ROUND(D30/20,Round)</f>
        <v>0.9</v>
      </c>
      <c r="E114" s="519"/>
      <c r="F114" s="520"/>
      <c r="G114" s="521"/>
      <c r="H114" s="28"/>
    </row>
    <row r="115" spans="1:10" ht="15" customHeight="1">
      <c r="B115" s="36"/>
      <c r="C115" s="84" t="s">
        <v>109</v>
      </c>
      <c r="D115" s="518">
        <f>ROUND(D44/20,Round)</f>
        <v>0.9</v>
      </c>
      <c r="E115" s="519"/>
      <c r="F115" s="520">
        <f>ROUND(F44/20,Round)</f>
        <v>0</v>
      </c>
      <c r="G115" s="521"/>
    </row>
    <row r="116" spans="1:10" ht="15" customHeight="1">
      <c r="B116" s="36"/>
      <c r="C116" s="84" t="s">
        <v>111</v>
      </c>
      <c r="D116" s="518">
        <f>ROUND(D58/20,Round)</f>
        <v>0.9</v>
      </c>
      <c r="E116" s="519"/>
      <c r="F116" s="520">
        <f>ROUND(F58/20,Round)</f>
        <v>0</v>
      </c>
      <c r="G116" s="521"/>
    </row>
    <row r="117" spans="1:10" ht="15" customHeight="1">
      <c r="B117" s="36"/>
      <c r="C117" s="84" t="s">
        <v>113</v>
      </c>
      <c r="D117" s="518">
        <f>ROUND(D72/20,Round)</f>
        <v>0.9</v>
      </c>
      <c r="E117" s="519"/>
      <c r="F117" s="520"/>
      <c r="G117" s="521"/>
    </row>
    <row r="118" spans="1:10" ht="15" customHeight="1">
      <c r="B118" s="36"/>
      <c r="C118" s="84" t="s">
        <v>158</v>
      </c>
      <c r="D118" s="518">
        <f>ROUND((D101+D111)/30,Round)</f>
        <v>0.94399999999999995</v>
      </c>
      <c r="E118" s="519"/>
      <c r="F118" s="522">
        <f>ROUND((F101+F111)/30,Round)</f>
        <v>0</v>
      </c>
      <c r="G118" s="521"/>
    </row>
    <row r="119" spans="1:10" ht="15" customHeight="1">
      <c r="B119" s="36"/>
      <c r="C119" s="84" t="s">
        <v>732</v>
      </c>
      <c r="D119" s="518">
        <f>ROUND(D78/4,Round)</f>
        <v>0</v>
      </c>
      <c r="E119" s="519"/>
      <c r="F119" s="520"/>
      <c r="G119" s="521"/>
    </row>
    <row r="120" spans="1:10" ht="15" customHeight="1" thickBot="1">
      <c r="B120" s="38"/>
      <c r="C120" s="85" t="s">
        <v>722</v>
      </c>
      <c r="D120" s="539">
        <f>ROUND(D89/4,Round)</f>
        <v>0</v>
      </c>
      <c r="E120" s="540"/>
      <c r="F120" s="541"/>
      <c r="G120" s="542"/>
      <c r="H120" s="61"/>
    </row>
    <row r="121" spans="1:10" ht="15" customHeight="1" thickBot="1"/>
    <row r="122" spans="1:10" ht="15" customHeight="1" thickBot="1">
      <c r="B122" s="481" t="s">
        <v>12</v>
      </c>
      <c r="C122" s="482"/>
      <c r="D122" s="513"/>
      <c r="E122" s="515"/>
      <c r="F122" s="515"/>
      <c r="G122" s="516"/>
      <c r="I122" s="29"/>
    </row>
    <row r="123" spans="1:10" s="29" customFormat="1" ht="15" customHeight="1">
      <c r="A123" s="28"/>
      <c r="B123" s="36"/>
      <c r="C123" s="37" t="s">
        <v>103</v>
      </c>
      <c r="D123" s="528">
        <f>IF(D16="FAIL",0,ROUND(D114*0.5+D115*0.25+D116*0.25+D117*1+D118*1+D119*1+D120*2,Round))</f>
        <v>2.7440000000000002</v>
      </c>
      <c r="E123" s="529"/>
      <c r="F123" s="529"/>
      <c r="G123" s="530"/>
      <c r="H123" s="61"/>
    </row>
    <row r="124" spans="1:10" ht="15" customHeight="1" thickBot="1">
      <c r="B124" s="38"/>
      <c r="C124" s="347" t="s">
        <v>717</v>
      </c>
      <c r="D124" s="531">
        <f>IF(F16="FAIL",0,ROUND(F115*1+F116*1+F118*1,Round))</f>
        <v>0</v>
      </c>
      <c r="E124" s="532"/>
      <c r="F124" s="532"/>
      <c r="G124" s="533"/>
    </row>
    <row r="125" spans="1:10" ht="15" customHeight="1" thickBot="1">
      <c r="E125" s="39"/>
      <c r="G125" s="39"/>
      <c r="I125" s="29"/>
    </row>
    <row r="126" spans="1:10" ht="21.6" thickBot="1">
      <c r="B126" s="534" t="s">
        <v>71</v>
      </c>
      <c r="C126" s="535"/>
      <c r="D126" s="536">
        <f>ROUND(SUM(D123:G124),Round)</f>
        <v>2.7440000000000002</v>
      </c>
      <c r="E126" s="537"/>
      <c r="F126" s="537"/>
      <c r="G126" s="538"/>
      <c r="H126" s="48"/>
      <c r="J126" s="70"/>
    </row>
    <row r="127" spans="1:10">
      <c r="J127" s="70"/>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62" activePane="bottomLeft" state="frozen"/>
      <selection activeCell="D30" sqref="D30"/>
      <selection pane="bottomLeft" activeCell="K48" sqref="K48"/>
    </sheetView>
  </sheetViews>
  <sheetFormatPr defaultColWidth="8.88671875" defaultRowHeight="13.8"/>
  <cols>
    <col min="1" max="2" width="8.88671875" style="28"/>
    <col min="3" max="3" width="40.44140625" style="28" customWidth="1"/>
    <col min="4" max="5" width="20.6640625" style="28" customWidth="1"/>
    <col min="6" max="6" width="13.44140625" style="28" customWidth="1"/>
    <col min="7" max="9" width="8.88671875" style="28" customWidth="1"/>
    <col min="10" max="16384" width="8.88671875" style="28"/>
  </cols>
  <sheetData>
    <row r="1" spans="1:5" ht="14.4" thickBot="1">
      <c r="A1" s="27">
        <v>3</v>
      </c>
    </row>
    <row r="2" spans="1:5" s="30" customFormat="1" ht="12.9" customHeight="1">
      <c r="B2" s="464" t="s">
        <v>128</v>
      </c>
      <c r="C2" s="465"/>
      <c r="D2" s="468"/>
      <c r="E2" s="469"/>
    </row>
    <row r="3" spans="1:5" s="30" customFormat="1" ht="15" customHeight="1">
      <c r="B3" s="466"/>
      <c r="C3" s="467"/>
      <c r="D3" s="470"/>
      <c r="E3" s="471"/>
    </row>
    <row r="4" spans="1:5" ht="15" customHeight="1" thickBot="1">
      <c r="B4" s="543"/>
      <c r="C4" s="544"/>
      <c r="D4" s="78" t="s">
        <v>104</v>
      </c>
      <c r="E4" s="79" t="s">
        <v>10</v>
      </c>
    </row>
    <row r="5" spans="1:5" s="29" customFormat="1" ht="15" customHeight="1">
      <c r="A5" s="28"/>
      <c r="B5" s="33" t="s">
        <v>29</v>
      </c>
      <c r="C5" s="64"/>
      <c r="D5" s="478"/>
      <c r="E5" s="480"/>
    </row>
    <row r="6" spans="1:5" s="29" customFormat="1" ht="15" customHeight="1">
      <c r="A6" s="28"/>
      <c r="B6" s="31"/>
      <c r="C6" s="65" t="s">
        <v>105</v>
      </c>
      <c r="D6" s="493"/>
      <c r="E6" s="494"/>
    </row>
    <row r="7" spans="1:5" s="29" customFormat="1" ht="15" customHeight="1">
      <c r="A7" s="28"/>
      <c r="B7" s="31"/>
      <c r="C7" s="65" t="s">
        <v>30</v>
      </c>
      <c r="D7" s="493"/>
      <c r="E7" s="494"/>
    </row>
    <row r="8" spans="1:5" s="29" customFormat="1" ht="15" customHeight="1">
      <c r="A8" s="28"/>
      <c r="B8" s="31"/>
      <c r="C8" s="65" t="s">
        <v>47</v>
      </c>
      <c r="D8" s="495"/>
      <c r="E8" s="496"/>
    </row>
    <row r="9" spans="1:5" s="29" customFormat="1" ht="15" customHeight="1" thickBot="1">
      <c r="A9" s="28"/>
      <c r="B9" s="38"/>
      <c r="C9" s="66" t="s">
        <v>31</v>
      </c>
      <c r="D9" s="497"/>
      <c r="E9" s="498"/>
    </row>
    <row r="10" spans="1:5" s="29" customFormat="1" ht="15" customHeight="1" thickBot="1">
      <c r="A10" s="28"/>
      <c r="B10" s="28"/>
      <c r="C10" s="30"/>
      <c r="D10" s="28"/>
      <c r="E10" s="28"/>
    </row>
    <row r="11" spans="1:5" s="29" customFormat="1" ht="15" customHeight="1">
      <c r="A11" s="28"/>
      <c r="B11" s="33" t="s">
        <v>70</v>
      </c>
      <c r="C11" s="34"/>
      <c r="D11" s="478"/>
      <c r="E11" s="480"/>
    </row>
    <row r="12" spans="1:5" s="29" customFormat="1" ht="15" customHeight="1">
      <c r="A12" s="28"/>
      <c r="B12" s="31"/>
      <c r="C12" s="35"/>
      <c r="D12" s="487"/>
      <c r="E12" s="489"/>
    </row>
    <row r="13" spans="1:5" s="29" customFormat="1" ht="15" customHeight="1">
      <c r="A13" s="28"/>
      <c r="B13" s="31"/>
      <c r="C13" s="32" t="s">
        <v>73</v>
      </c>
      <c r="D13" s="490" t="s">
        <v>771</v>
      </c>
      <c r="E13" s="492"/>
    </row>
    <row r="14" spans="1:5" s="29" customFormat="1" ht="15" customHeight="1" thickBot="1">
      <c r="A14" s="28"/>
      <c r="B14" s="31"/>
      <c r="C14" s="32" t="s">
        <v>106</v>
      </c>
      <c r="D14" s="505" t="s">
        <v>205</v>
      </c>
      <c r="E14" s="508"/>
    </row>
    <row r="15" spans="1:5" s="29" customFormat="1" ht="15" customHeight="1" thickBot="1">
      <c r="A15" s="28"/>
      <c r="B15" s="481" t="s">
        <v>70</v>
      </c>
      <c r="C15" s="482"/>
      <c r="D15" s="545" t="str">
        <f>IF(AND(D13="YES",D14="NO"),"PASS","FAIL")</f>
        <v>PASS</v>
      </c>
      <c r="E15" s="546"/>
    </row>
    <row r="16" spans="1:5" s="29" customFormat="1" ht="15" customHeight="1" thickBot="1">
      <c r="A16" s="28"/>
      <c r="B16" s="28"/>
      <c r="C16" s="30"/>
      <c r="D16" s="28"/>
      <c r="E16" s="28"/>
    </row>
    <row r="17" spans="1:5" s="29" customFormat="1" ht="15" customHeight="1">
      <c r="A17" s="28"/>
      <c r="B17" s="33" t="s">
        <v>713</v>
      </c>
      <c r="C17" s="34"/>
      <c r="D17" s="499"/>
      <c r="E17" s="502"/>
    </row>
    <row r="18" spans="1:5" s="29" customFormat="1" ht="15" customHeight="1">
      <c r="A18" s="28"/>
      <c r="B18" s="69"/>
      <c r="C18" s="42">
        <v>10</v>
      </c>
      <c r="D18" s="63"/>
      <c r="E18" s="77">
        <f t="shared" ref="E18:E24" si="0">IF(D18="",0,ROUND(($C18-IF(D18&gt;$C18,$C18,D18))/$C18*1,Round))</f>
        <v>0</v>
      </c>
    </row>
    <row r="19" spans="1:5" s="29" customFormat="1" ht="15" customHeight="1">
      <c r="A19" s="28"/>
      <c r="B19" s="69"/>
      <c r="C19" s="42">
        <v>15</v>
      </c>
      <c r="D19" s="63"/>
      <c r="E19" s="77">
        <f t="shared" si="0"/>
        <v>0</v>
      </c>
    </row>
    <row r="20" spans="1:5" s="29" customFormat="1" ht="15" customHeight="1">
      <c r="A20" s="28"/>
      <c r="B20" s="69"/>
      <c r="C20" s="42">
        <v>20</v>
      </c>
      <c r="D20" s="63"/>
      <c r="E20" s="77">
        <f t="shared" si="0"/>
        <v>0</v>
      </c>
    </row>
    <row r="21" spans="1:5" s="29" customFormat="1" ht="15" customHeight="1">
      <c r="A21" s="28"/>
      <c r="B21" s="69"/>
      <c r="C21" s="42">
        <v>25</v>
      </c>
      <c r="D21" s="63"/>
      <c r="E21" s="77">
        <f t="shared" si="0"/>
        <v>0</v>
      </c>
    </row>
    <row r="22" spans="1:5" s="29" customFormat="1" ht="15" customHeight="1">
      <c r="A22" s="28"/>
      <c r="B22" s="69"/>
      <c r="C22" s="42">
        <v>30</v>
      </c>
      <c r="D22" s="63"/>
      <c r="E22" s="77">
        <f t="shared" si="0"/>
        <v>0</v>
      </c>
    </row>
    <row r="23" spans="1:5" s="29" customFormat="1" ht="15" customHeight="1">
      <c r="A23" s="28"/>
      <c r="B23" s="69"/>
      <c r="C23" s="42">
        <v>35</v>
      </c>
      <c r="D23" s="63"/>
      <c r="E23" s="77">
        <f t="shared" si="0"/>
        <v>0</v>
      </c>
    </row>
    <row r="24" spans="1:5" s="29" customFormat="1" ht="15" customHeight="1">
      <c r="A24" s="28"/>
      <c r="B24" s="69"/>
      <c r="C24" s="42">
        <v>40</v>
      </c>
      <c r="D24" s="63"/>
      <c r="E24" s="77">
        <f t="shared" si="0"/>
        <v>0</v>
      </c>
    </row>
    <row r="25" spans="1:5" s="29" customFormat="1" ht="15" customHeight="1">
      <c r="A25" s="28"/>
      <c r="B25" s="31"/>
      <c r="C25" s="42">
        <v>45</v>
      </c>
      <c r="D25" s="63"/>
      <c r="E25" s="77">
        <f>IF(D25="",0,IF(D25&lt;=(C25-20),1,0))</f>
        <v>0</v>
      </c>
    </row>
    <row r="26" spans="1:5" s="29" customFormat="1" ht="15" customHeight="1">
      <c r="A26" s="28"/>
      <c r="B26" s="31"/>
      <c r="C26" s="42">
        <v>50</v>
      </c>
      <c r="D26" s="63"/>
      <c r="E26" s="77">
        <f>IF(D26="",0,IF(D26&lt;=(C26-20),1,0))</f>
        <v>0</v>
      </c>
    </row>
    <row r="27" spans="1:5" s="29" customFormat="1" ht="15" customHeight="1">
      <c r="A27" s="28"/>
      <c r="B27" s="31"/>
      <c r="C27" s="42">
        <v>55</v>
      </c>
      <c r="D27" s="63"/>
      <c r="E27" s="77">
        <f>IF(D27="",0,IF(D27&lt;=(C27-20),1,0))</f>
        <v>0</v>
      </c>
    </row>
    <row r="28" spans="1:5" s="29" customFormat="1" ht="15" customHeight="1" thickBot="1">
      <c r="A28" s="28"/>
      <c r="B28" s="31"/>
      <c r="C28" s="42">
        <v>60</v>
      </c>
      <c r="D28" s="88"/>
      <c r="E28" s="40">
        <f>IF(D28="",0,IF(D28&lt;=(C28-20),1,0))</f>
        <v>0</v>
      </c>
    </row>
    <row r="29" spans="1:5" s="29" customFormat="1" ht="15" customHeight="1" thickBot="1">
      <c r="A29" s="28"/>
      <c r="B29" s="511" t="s">
        <v>714</v>
      </c>
      <c r="C29" s="512"/>
      <c r="D29" s="513">
        <f>IF((COUNTBLANK(D18:D24)+COUNTBLANK(D25:D28))&gt;0,0,SUM(E18:E24,E25:E28))</f>
        <v>0</v>
      </c>
      <c r="E29" s="516"/>
    </row>
    <row r="30" spans="1:5" s="29" customFormat="1" ht="15" customHeight="1" thickBot="1">
      <c r="A30" s="28"/>
      <c r="B30" s="28"/>
      <c r="C30" s="30"/>
      <c r="D30" s="28"/>
      <c r="E30" s="28"/>
    </row>
    <row r="31" spans="1:5" s="29" customFormat="1" ht="15" customHeight="1">
      <c r="A31" s="28"/>
      <c r="B31" s="33" t="s">
        <v>127</v>
      </c>
      <c r="C31" s="34"/>
      <c r="D31" s="499"/>
      <c r="E31" s="502"/>
    </row>
    <row r="32" spans="1:5" s="29" customFormat="1" ht="15" customHeight="1">
      <c r="A32" s="28"/>
      <c r="B32" s="69"/>
      <c r="C32" s="42">
        <v>10</v>
      </c>
      <c r="D32" s="63">
        <v>10</v>
      </c>
      <c r="E32" s="77">
        <f t="shared" ref="E32:E33" si="1">IF(D32="",0,ROUND(($C32-IF(D32&gt;$C32,$C32,D32))/$C32*1,Round))</f>
        <v>0</v>
      </c>
    </row>
    <row r="33" spans="1:5" s="29" customFormat="1" ht="15" customHeight="1">
      <c r="A33" s="28"/>
      <c r="B33" s="69"/>
      <c r="C33" s="42">
        <v>15</v>
      </c>
      <c r="D33" s="63">
        <v>15</v>
      </c>
      <c r="E33" s="77">
        <f t="shared" si="1"/>
        <v>0</v>
      </c>
    </row>
    <row r="34" spans="1:5" s="29" customFormat="1" ht="15" customHeight="1">
      <c r="A34" s="28"/>
      <c r="B34" s="69"/>
      <c r="C34" s="42">
        <v>20</v>
      </c>
      <c r="D34" s="63">
        <v>0</v>
      </c>
      <c r="E34" s="77">
        <f>IF(D34="",0,ROUND(($C34-IF(D34&gt;$C34,$C34,D34))/$C34*1,Round))</f>
        <v>1</v>
      </c>
    </row>
    <row r="35" spans="1:5" s="29" customFormat="1" ht="15" customHeight="1">
      <c r="A35" s="28"/>
      <c r="B35" s="69"/>
      <c r="C35" s="42">
        <v>25</v>
      </c>
      <c r="D35" s="63">
        <v>0</v>
      </c>
      <c r="E35" s="77">
        <f>IF(D35="",0,ROUND(($C35-IF(D35&gt;$C35,$C35,D35))/$C35*1,Round))</f>
        <v>1</v>
      </c>
    </row>
    <row r="36" spans="1:5" s="29" customFormat="1" ht="15" customHeight="1">
      <c r="A36" s="28"/>
      <c r="B36" s="69"/>
      <c r="C36" s="42">
        <v>30</v>
      </c>
      <c r="D36" s="63">
        <v>0</v>
      </c>
      <c r="E36" s="77">
        <f>IF(D36="",0,ROUND(($C36-IF(D36&gt;$C36,$C36,D36))/$C36*1,Round))</f>
        <v>1</v>
      </c>
    </row>
    <row r="37" spans="1:5" s="29" customFormat="1" ht="15" customHeight="1">
      <c r="A37" s="28"/>
      <c r="B37" s="69"/>
      <c r="C37" s="42">
        <v>35</v>
      </c>
      <c r="D37" s="63">
        <v>0</v>
      </c>
      <c r="E37" s="77">
        <f>IF(D37="",0,ROUND(($C37-IF(D37&gt;$C37,$C37,D37))/$C37*1,Round))</f>
        <v>1</v>
      </c>
    </row>
    <row r="38" spans="1:5" s="29" customFormat="1" ht="15" customHeight="1">
      <c r="A38" s="28"/>
      <c r="B38" s="69"/>
      <c r="C38" s="42">
        <v>40</v>
      </c>
      <c r="D38" s="63">
        <v>0</v>
      </c>
      <c r="E38" s="77">
        <f>IF(D38="",0,ROUND(($C38-IF(D38&gt;$C38,$C38,D38))/$C38*1,Round))</f>
        <v>1</v>
      </c>
    </row>
    <row r="39" spans="1:5" s="29" customFormat="1" ht="15" customHeight="1">
      <c r="A39" s="28"/>
      <c r="B39" s="31"/>
      <c r="C39" s="42">
        <v>45</v>
      </c>
      <c r="D39" s="63">
        <v>0</v>
      </c>
      <c r="E39" s="77">
        <f>IF(D39="",0,IF(D39&lt;=(C39-20),1,0))</f>
        <v>1</v>
      </c>
    </row>
    <row r="40" spans="1:5" s="29" customFormat="1" ht="15" customHeight="1">
      <c r="A40" s="28"/>
      <c r="B40" s="31"/>
      <c r="C40" s="42">
        <v>50</v>
      </c>
      <c r="D40" s="63">
        <v>0</v>
      </c>
      <c r="E40" s="77">
        <f>IF(D40="",0,IF(D40&lt;=(C40-20),1,0))</f>
        <v>1</v>
      </c>
    </row>
    <row r="41" spans="1:5" s="29" customFormat="1" ht="15" customHeight="1">
      <c r="A41" s="28"/>
      <c r="B41" s="31"/>
      <c r="C41" s="42">
        <v>55</v>
      </c>
      <c r="D41" s="63">
        <v>0</v>
      </c>
      <c r="E41" s="77">
        <f>IF(D41="",0,IF(D41&lt;=(C41-20),1,0))</f>
        <v>1</v>
      </c>
    </row>
    <row r="42" spans="1:5" s="29" customFormat="1" ht="15" customHeight="1" thickBot="1">
      <c r="A42" s="28"/>
      <c r="B42" s="31"/>
      <c r="C42" s="42">
        <v>60</v>
      </c>
      <c r="D42" s="88">
        <v>0</v>
      </c>
      <c r="E42" s="40">
        <f>IF(D42="",0,IF(D42&lt;=(C42-20),1,0))</f>
        <v>1</v>
      </c>
    </row>
    <row r="43" spans="1:5" s="29" customFormat="1" ht="15" customHeight="1" thickBot="1">
      <c r="A43" s="28"/>
      <c r="B43" s="511" t="s">
        <v>126</v>
      </c>
      <c r="C43" s="512"/>
      <c r="D43" s="513">
        <f>SUM(E34:E38,E39:E42)</f>
        <v>9</v>
      </c>
      <c r="E43" s="516"/>
    </row>
    <row r="44" spans="1:5" s="29" customFormat="1" ht="15" customHeight="1" thickBot="1">
      <c r="A44" s="28"/>
      <c r="B44" s="28"/>
      <c r="C44" s="30"/>
      <c r="D44" s="28"/>
      <c r="E44" s="28"/>
    </row>
    <row r="45" spans="1:5" s="29" customFormat="1" ht="15" customHeight="1">
      <c r="A45" s="28"/>
      <c r="B45" s="33" t="s">
        <v>715</v>
      </c>
      <c r="C45" s="34"/>
      <c r="D45" s="499"/>
      <c r="E45" s="502"/>
    </row>
    <row r="46" spans="1:5" s="29" customFormat="1" ht="15" customHeight="1">
      <c r="A46" s="28"/>
      <c r="B46" s="69"/>
      <c r="C46" s="42">
        <v>10</v>
      </c>
      <c r="D46" s="63"/>
      <c r="E46" s="77">
        <f t="shared" ref="E46:E52" si="2">IF(D46="",0,ROUND(($C46-IF(D46&gt;$C46,$C46,D46))/$C46*1,Round))</f>
        <v>0</v>
      </c>
    </row>
    <row r="47" spans="1:5" s="29" customFormat="1" ht="15" customHeight="1">
      <c r="A47" s="28"/>
      <c r="B47" s="69"/>
      <c r="C47" s="42">
        <v>15</v>
      </c>
      <c r="D47" s="63"/>
      <c r="E47" s="77">
        <f t="shared" si="2"/>
        <v>0</v>
      </c>
    </row>
    <row r="48" spans="1:5" s="29" customFormat="1" ht="15" customHeight="1">
      <c r="A48" s="28"/>
      <c r="B48" s="69"/>
      <c r="C48" s="42">
        <v>20</v>
      </c>
      <c r="D48" s="63"/>
      <c r="E48" s="77">
        <f t="shared" si="2"/>
        <v>0</v>
      </c>
    </row>
    <row r="49" spans="1:5" s="29" customFormat="1" ht="15" customHeight="1">
      <c r="A49" s="28"/>
      <c r="B49" s="69"/>
      <c r="C49" s="42">
        <v>25</v>
      </c>
      <c r="D49" s="63"/>
      <c r="E49" s="77">
        <f t="shared" si="2"/>
        <v>0</v>
      </c>
    </row>
    <row r="50" spans="1:5" s="29" customFormat="1" ht="15" customHeight="1">
      <c r="A50" s="28"/>
      <c r="B50" s="69"/>
      <c r="C50" s="42">
        <v>30</v>
      </c>
      <c r="D50" s="63"/>
      <c r="E50" s="77">
        <f t="shared" si="2"/>
        <v>0</v>
      </c>
    </row>
    <row r="51" spans="1:5" s="29" customFormat="1" ht="15" customHeight="1">
      <c r="A51" s="28"/>
      <c r="B51" s="69"/>
      <c r="C51" s="42">
        <v>35</v>
      </c>
      <c r="D51" s="63"/>
      <c r="E51" s="77">
        <f t="shared" si="2"/>
        <v>0</v>
      </c>
    </row>
    <row r="52" spans="1:5" s="29" customFormat="1" ht="15" customHeight="1">
      <c r="A52" s="28"/>
      <c r="B52" s="69"/>
      <c r="C52" s="42">
        <v>40</v>
      </c>
      <c r="D52" s="63"/>
      <c r="E52" s="77">
        <f t="shared" si="2"/>
        <v>0</v>
      </c>
    </row>
    <row r="53" spans="1:5" s="29" customFormat="1" ht="15" customHeight="1">
      <c r="A53" s="28"/>
      <c r="B53" s="31"/>
      <c r="C53" s="42">
        <v>45</v>
      </c>
      <c r="D53" s="63"/>
      <c r="E53" s="77">
        <f>IF(D53="",0,IF(D53&lt;=(C53-20),1,0))</f>
        <v>0</v>
      </c>
    </row>
    <row r="54" spans="1:5" s="29" customFormat="1" ht="15" customHeight="1">
      <c r="A54" s="28"/>
      <c r="B54" s="31"/>
      <c r="C54" s="42">
        <v>50</v>
      </c>
      <c r="D54" s="63"/>
      <c r="E54" s="77">
        <f>IF(D54="",0,IF(D54&lt;=(C54-20),1,0))</f>
        <v>0</v>
      </c>
    </row>
    <row r="55" spans="1:5" s="29" customFormat="1" ht="15" customHeight="1">
      <c r="A55" s="28"/>
      <c r="B55" s="31"/>
      <c r="C55" s="42">
        <v>55</v>
      </c>
      <c r="D55" s="63"/>
      <c r="E55" s="77">
        <f>IF(D55="",0,IF(D55&lt;=(C55-20),1,0))</f>
        <v>0</v>
      </c>
    </row>
    <row r="56" spans="1:5" s="29" customFormat="1" ht="15" customHeight="1" thickBot="1">
      <c r="A56" s="28"/>
      <c r="B56" s="31"/>
      <c r="C56" s="42">
        <v>60</v>
      </c>
      <c r="D56" s="88"/>
      <c r="E56" s="40">
        <f>IF(D56="",0,IF(D56&lt;=(C56-20),1,0))</f>
        <v>0</v>
      </c>
    </row>
    <row r="57" spans="1:5" s="29" customFormat="1" ht="15" customHeight="1" thickBot="1">
      <c r="A57" s="28"/>
      <c r="B57" s="511" t="s">
        <v>716</v>
      </c>
      <c r="C57" s="512"/>
      <c r="D57" s="513">
        <f>IF((COUNTBLANK(D46:D52)+COUNTBLANK(D53:D56))&gt;0,0,SUM(E46:E52,E53:E56))</f>
        <v>0</v>
      </c>
      <c r="E57" s="516"/>
    </row>
    <row r="58" spans="1:5" s="29" customFormat="1" ht="15" customHeight="1" thickBot="1">
      <c r="A58" s="28"/>
      <c r="B58" s="28"/>
      <c r="C58" s="30"/>
      <c r="D58" s="28"/>
      <c r="E58" s="28"/>
    </row>
    <row r="59" spans="1:5" s="29" customFormat="1" ht="15" customHeight="1">
      <c r="A59" s="28"/>
      <c r="B59" s="33" t="s">
        <v>122</v>
      </c>
      <c r="C59" s="34"/>
      <c r="D59" s="499"/>
      <c r="E59" s="502"/>
    </row>
    <row r="60" spans="1:5" s="29" customFormat="1" ht="15" customHeight="1">
      <c r="A60" s="28"/>
      <c r="B60" s="89">
        <v>1</v>
      </c>
      <c r="C60" s="42">
        <v>25</v>
      </c>
      <c r="D60" s="63">
        <v>0</v>
      </c>
      <c r="E60" s="77">
        <f>IF(D60="",0,ROUND((($C60-15)-(IF(D60&lt;=15,15,IF(D60&gt;$C60,$C60,D60))-15))/($C60-15)*$B60,Round))</f>
        <v>1</v>
      </c>
    </row>
    <row r="61" spans="1:5" s="29" customFormat="1" ht="15" customHeight="1">
      <c r="A61" s="28"/>
      <c r="B61" s="89">
        <v>1</v>
      </c>
      <c r="C61" s="42">
        <v>30</v>
      </c>
      <c r="D61" s="63">
        <v>0</v>
      </c>
      <c r="E61" s="77">
        <f>IF(D61="",0,ROUND((($C61-15)-(IF(D61&lt;=15,15,IF(D61&gt;$C61,$C61,D61))-15))/($C61-15)*$B61,Round))</f>
        <v>1</v>
      </c>
    </row>
    <row r="62" spans="1:5" s="29" customFormat="1" ht="15" customHeight="1">
      <c r="A62" s="28"/>
      <c r="B62" s="89">
        <v>2</v>
      </c>
      <c r="C62" s="42">
        <v>35</v>
      </c>
      <c r="D62" s="63">
        <v>0</v>
      </c>
      <c r="E62" s="77">
        <f>IF(D62="",0,ROUND((($C62-15)-(IF(D62&lt;=15,15,IF(D62&gt;$C62,$C62,D62))-15))/($C62-15)*$B62,Round))</f>
        <v>2</v>
      </c>
    </row>
    <row r="63" spans="1:5" s="29" customFormat="1" ht="15" customHeight="1">
      <c r="A63" s="28"/>
      <c r="B63" s="89">
        <v>2</v>
      </c>
      <c r="C63" s="42">
        <v>40</v>
      </c>
      <c r="D63" s="63">
        <v>0</v>
      </c>
      <c r="E63" s="77">
        <f>IF(D63="",0,ROUND((($C63-15)-(IF(D63&lt;=15,15,IF(D63&gt;$C63,$C63,D63))-15))/($C63-15)*$B63,Round))</f>
        <v>2</v>
      </c>
    </row>
    <row r="64" spans="1:5" s="29" customFormat="1" ht="15" customHeight="1">
      <c r="A64" s="28"/>
      <c r="B64" s="89">
        <v>3</v>
      </c>
      <c r="C64" s="42">
        <v>45</v>
      </c>
      <c r="D64" s="63">
        <v>0</v>
      </c>
      <c r="E64" s="77">
        <f>IF(D64="",0,IF(D64&lt;=(C64-20),$B64,0))</f>
        <v>3</v>
      </c>
    </row>
    <row r="65" spans="1:5" s="29" customFormat="1" ht="15" customHeight="1">
      <c r="A65" s="28"/>
      <c r="B65" s="89">
        <v>3</v>
      </c>
      <c r="C65" s="42">
        <v>50</v>
      </c>
      <c r="D65" s="63">
        <v>0</v>
      </c>
      <c r="E65" s="77">
        <f t="shared" ref="E65:E67" si="3">IF(D65="",0,IF(D65&lt;=(C65-20),$B65,0))</f>
        <v>3</v>
      </c>
    </row>
    <row r="66" spans="1:5" s="29" customFormat="1" ht="15" customHeight="1">
      <c r="A66" s="28"/>
      <c r="B66" s="89">
        <v>3</v>
      </c>
      <c r="C66" s="42">
        <v>55</v>
      </c>
      <c r="D66" s="63">
        <v>0</v>
      </c>
      <c r="E66" s="77">
        <f t="shared" si="3"/>
        <v>3</v>
      </c>
    </row>
    <row r="67" spans="1:5" s="29" customFormat="1" ht="15" customHeight="1" thickBot="1">
      <c r="A67" s="28"/>
      <c r="B67" s="89">
        <v>1</v>
      </c>
      <c r="C67" s="42">
        <v>60</v>
      </c>
      <c r="D67" s="88">
        <v>0</v>
      </c>
      <c r="E67" s="40">
        <f t="shared" si="3"/>
        <v>1</v>
      </c>
    </row>
    <row r="68" spans="1:5" s="29" customFormat="1" ht="15" customHeight="1" thickBot="1">
      <c r="A68" s="28"/>
      <c r="B68" s="511" t="s">
        <v>125</v>
      </c>
      <c r="C68" s="512"/>
      <c r="D68" s="513">
        <f>SUM(E60:E63,E64:E67)</f>
        <v>16</v>
      </c>
      <c r="E68" s="516"/>
    </row>
    <row r="69" spans="1:5" s="29" customFormat="1" ht="15" customHeight="1" thickBot="1">
      <c r="A69" s="28"/>
      <c r="B69" s="28"/>
      <c r="C69" s="30"/>
      <c r="D69" s="28"/>
      <c r="E69" s="28"/>
    </row>
    <row r="70" spans="1:5" s="29" customFormat="1" ht="15" customHeight="1">
      <c r="A70" s="28"/>
      <c r="B70" s="33" t="s">
        <v>121</v>
      </c>
      <c r="C70" s="34"/>
      <c r="D70" s="81" t="s">
        <v>118</v>
      </c>
      <c r="E70" s="82" t="s">
        <v>10</v>
      </c>
    </row>
    <row r="71" spans="1:5" s="29" customFormat="1" ht="15" customHeight="1">
      <c r="A71" s="28"/>
      <c r="B71" s="89">
        <v>3</v>
      </c>
      <c r="C71" s="42">
        <v>50</v>
      </c>
      <c r="D71" s="63">
        <v>1.94</v>
      </c>
      <c r="E71" s="77">
        <f>IF(D71="",0,IF(D71&gt;=1.7,$B71,0))</f>
        <v>3</v>
      </c>
    </row>
    <row r="72" spans="1:5" s="29" customFormat="1" ht="15" customHeight="1">
      <c r="A72" s="28"/>
      <c r="B72" s="89">
        <v>3</v>
      </c>
      <c r="C72" s="42">
        <v>55</v>
      </c>
      <c r="D72" s="63">
        <v>1.7</v>
      </c>
      <c r="E72" s="77">
        <f t="shared" ref="E72:E77" si="4">IF(D72="",0,IF(D72&gt;=1.7,$B72,0))</f>
        <v>3</v>
      </c>
    </row>
    <row r="73" spans="1:5" s="29" customFormat="1" ht="15" customHeight="1">
      <c r="A73" s="28"/>
      <c r="B73" s="89">
        <v>1</v>
      </c>
      <c r="C73" s="42">
        <v>60</v>
      </c>
      <c r="D73" s="63">
        <v>2.2200000000000002</v>
      </c>
      <c r="E73" s="77">
        <f t="shared" si="4"/>
        <v>1</v>
      </c>
    </row>
    <row r="74" spans="1:5" s="29" customFormat="1" ht="15" customHeight="1">
      <c r="A74" s="28"/>
      <c r="B74" s="89">
        <v>1</v>
      </c>
      <c r="C74" s="42">
        <v>65</v>
      </c>
      <c r="D74" s="63">
        <v>1.7</v>
      </c>
      <c r="E74" s="77">
        <f t="shared" si="4"/>
        <v>1</v>
      </c>
    </row>
    <row r="75" spans="1:5" s="29" customFormat="1" ht="15" customHeight="1">
      <c r="A75" s="28"/>
      <c r="B75" s="89">
        <v>1</v>
      </c>
      <c r="C75" s="42">
        <v>70</v>
      </c>
      <c r="D75" s="63">
        <v>2.2400000000000002</v>
      </c>
      <c r="E75" s="77">
        <f t="shared" si="4"/>
        <v>1</v>
      </c>
    </row>
    <row r="76" spans="1:5" s="29" customFormat="1" ht="15" customHeight="1">
      <c r="A76" s="28"/>
      <c r="B76" s="89">
        <v>1</v>
      </c>
      <c r="C76" s="42">
        <v>75</v>
      </c>
      <c r="D76" s="63">
        <v>1.7</v>
      </c>
      <c r="E76" s="77">
        <f t="shared" si="4"/>
        <v>1</v>
      </c>
    </row>
    <row r="77" spans="1:5" s="29" customFormat="1" ht="15" customHeight="1" thickBot="1">
      <c r="A77" s="28"/>
      <c r="B77" s="89">
        <v>1</v>
      </c>
      <c r="C77" s="42">
        <v>80</v>
      </c>
      <c r="D77" s="63">
        <v>2.2000000000000002</v>
      </c>
      <c r="E77" s="77">
        <f t="shared" si="4"/>
        <v>1</v>
      </c>
    </row>
    <row r="78" spans="1:5" s="29" customFormat="1" ht="15" customHeight="1" thickBot="1">
      <c r="A78" s="28"/>
      <c r="B78" s="511" t="s">
        <v>124</v>
      </c>
      <c r="C78" s="512"/>
      <c r="D78" s="513">
        <f>SUM(E71:E75,E76:E77)</f>
        <v>11</v>
      </c>
      <c r="E78" s="516"/>
    </row>
    <row r="79" spans="1:5" s="29" customFormat="1" ht="15" customHeight="1" thickBot="1">
      <c r="A79" s="28"/>
      <c r="B79" s="28"/>
      <c r="C79" s="30"/>
      <c r="D79" s="28"/>
      <c r="E79" s="28"/>
    </row>
    <row r="80" spans="1:5" s="29" customFormat="1" ht="15" customHeight="1" thickBot="1">
      <c r="A80" s="28"/>
      <c r="B80" s="481" t="s">
        <v>9</v>
      </c>
      <c r="C80" s="523"/>
      <c r="D80" s="524"/>
      <c r="E80" s="548"/>
    </row>
    <row r="81" spans="1:7" s="29" customFormat="1" ht="15" customHeight="1">
      <c r="A81" s="28"/>
      <c r="B81" s="87"/>
      <c r="C81" s="86" t="s">
        <v>713</v>
      </c>
      <c r="D81" s="549">
        <f>ROUND(D29/11,Round)</f>
        <v>0</v>
      </c>
      <c r="E81" s="550"/>
      <c r="F81" s="28"/>
    </row>
    <row r="82" spans="1:7" s="29" customFormat="1" ht="15" customHeight="1">
      <c r="A82" s="28"/>
      <c r="B82" s="36"/>
      <c r="C82" s="83" t="s">
        <v>123</v>
      </c>
      <c r="D82" s="518">
        <f>ROUND(D43/9,Round)</f>
        <v>1</v>
      </c>
      <c r="E82" s="521"/>
      <c r="F82" s="28"/>
    </row>
    <row r="83" spans="1:7" s="29" customFormat="1" ht="15" customHeight="1">
      <c r="A83" s="28"/>
      <c r="B83" s="36"/>
      <c r="C83" s="83" t="s">
        <v>715</v>
      </c>
      <c r="D83" s="518">
        <f>ROUND(D57/11,Round)</f>
        <v>0</v>
      </c>
      <c r="E83" s="521"/>
      <c r="F83" s="28"/>
    </row>
    <row r="84" spans="1:7" ht="15" customHeight="1" thickBot="1">
      <c r="B84" s="38"/>
      <c r="C84" s="85" t="s">
        <v>159</v>
      </c>
      <c r="D84" s="539">
        <f>ROUND((D68+D78)/27,Round)</f>
        <v>1</v>
      </c>
      <c r="E84" s="542"/>
      <c r="F84" s="70"/>
    </row>
    <row r="85" spans="1:7" ht="15" customHeight="1" thickBot="1">
      <c r="D85" s="547"/>
      <c r="E85" s="547"/>
    </row>
    <row r="86" spans="1:7" ht="21.6" thickBot="1">
      <c r="B86" s="534" t="s">
        <v>150</v>
      </c>
      <c r="C86" s="535"/>
      <c r="D86" s="536">
        <f>IF(D15="FAIL",0,ROUND(D81*3+D82*1.5+D83*1.5+D84*3,Round))</f>
        <v>4.5</v>
      </c>
      <c r="E86" s="538"/>
      <c r="F86" s="48"/>
      <c r="G86" s="70"/>
    </row>
    <row r="87" spans="1:7">
      <c r="G87" s="70"/>
    </row>
    <row r="88" spans="1:7">
      <c r="G88" s="28" t="s">
        <v>733</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zoomScale="80" zoomScaleNormal="80" workbookViewId="0">
      <selection activeCell="D5" sqref="D5:H5"/>
    </sheetView>
  </sheetViews>
  <sheetFormatPr defaultColWidth="8.88671875" defaultRowHeight="13.8"/>
  <cols>
    <col min="1" max="2" width="8.88671875" style="20"/>
    <col min="3" max="3" width="34.109375" style="20" customWidth="1"/>
    <col min="4" max="8" width="8.5546875" style="20" customWidth="1"/>
    <col min="9" max="9" width="11.5546875" style="20" customWidth="1"/>
    <col min="10" max="13" width="8.5546875" style="20" customWidth="1"/>
    <col min="14" max="19" width="8.88671875" style="20"/>
    <col min="20" max="20" width="10.44140625" style="20" customWidth="1"/>
    <col min="21" max="16384" width="8.88671875" style="20"/>
  </cols>
  <sheetData>
    <row r="1" spans="1:18" ht="14.4" thickBot="1">
      <c r="A1" s="55">
        <v>3</v>
      </c>
    </row>
    <row r="2" spans="1:18" s="26" customFormat="1" ht="30.75" customHeight="1">
      <c r="B2" s="603" t="s">
        <v>163</v>
      </c>
      <c r="C2" s="604"/>
      <c r="D2" s="610" t="s">
        <v>22</v>
      </c>
      <c r="E2" s="611"/>
      <c r="F2" s="611"/>
      <c r="G2" s="611"/>
      <c r="H2" s="612"/>
      <c r="I2" s="610" t="s">
        <v>28</v>
      </c>
      <c r="J2" s="611"/>
      <c r="K2" s="611"/>
      <c r="L2" s="611"/>
      <c r="M2" s="612"/>
    </row>
    <row r="3" spans="1:18" s="303" customFormat="1" ht="15" customHeight="1" thickBot="1">
      <c r="B3" s="605"/>
      <c r="C3" s="606"/>
      <c r="D3" s="613"/>
      <c r="E3" s="614"/>
      <c r="F3" s="614"/>
      <c r="G3" s="614"/>
      <c r="H3" s="615"/>
      <c r="I3" s="616"/>
      <c r="J3" s="617"/>
      <c r="K3" s="617"/>
      <c r="L3" s="617"/>
      <c r="M3" s="618"/>
      <c r="O3" s="28"/>
    </row>
    <row r="4" spans="1:18">
      <c r="B4" s="586" t="s">
        <v>29</v>
      </c>
      <c r="C4" s="587"/>
      <c r="D4" s="588"/>
      <c r="E4" s="589"/>
      <c r="F4" s="589"/>
      <c r="G4" s="589"/>
      <c r="H4" s="590"/>
      <c r="I4" s="591"/>
      <c r="J4" s="592"/>
      <c r="K4" s="592"/>
      <c r="L4" s="592"/>
      <c r="M4" s="593"/>
      <c r="O4" s="28"/>
    </row>
    <row r="5" spans="1:18">
      <c r="B5" s="304"/>
      <c r="C5" s="95" t="s">
        <v>53</v>
      </c>
      <c r="D5" s="594"/>
      <c r="E5" s="595"/>
      <c r="F5" s="595"/>
      <c r="G5" s="595"/>
      <c r="H5" s="596"/>
      <c r="I5" s="597"/>
      <c r="J5" s="598"/>
      <c r="K5" s="598"/>
      <c r="L5" s="598"/>
      <c r="M5" s="599"/>
      <c r="O5" s="28"/>
    </row>
    <row r="6" spans="1:18">
      <c r="B6" s="304"/>
      <c r="C6" s="305" t="s">
        <v>50</v>
      </c>
      <c r="D6" s="600"/>
      <c r="E6" s="601"/>
      <c r="F6" s="601"/>
      <c r="G6" s="601"/>
      <c r="H6" s="602"/>
      <c r="I6" s="597"/>
      <c r="J6" s="598"/>
      <c r="K6" s="598"/>
      <c r="L6" s="598"/>
      <c r="M6" s="599"/>
      <c r="O6" s="28"/>
    </row>
    <row r="7" spans="1:18">
      <c r="B7" s="304"/>
      <c r="C7" s="95" t="s">
        <v>30</v>
      </c>
      <c r="D7" s="594" t="s">
        <v>771</v>
      </c>
      <c r="E7" s="595"/>
      <c r="F7" s="595"/>
      <c r="G7" s="595"/>
      <c r="H7" s="596"/>
      <c r="I7" s="594" t="s">
        <v>771</v>
      </c>
      <c r="J7" s="595"/>
      <c r="K7" s="595"/>
      <c r="L7" s="595"/>
      <c r="M7" s="596"/>
      <c r="O7" s="28"/>
      <c r="P7" s="41"/>
      <c r="Q7" s="41"/>
      <c r="R7" s="41"/>
    </row>
    <row r="8" spans="1:18">
      <c r="B8" s="304"/>
      <c r="C8" s="95" t="s">
        <v>47</v>
      </c>
      <c r="D8" s="622"/>
      <c r="E8" s="623"/>
      <c r="F8" s="623"/>
      <c r="G8" s="623"/>
      <c r="H8" s="624"/>
      <c r="I8" s="622"/>
      <c r="J8" s="623"/>
      <c r="K8" s="623"/>
      <c r="L8" s="623"/>
      <c r="M8" s="624"/>
      <c r="O8" s="28"/>
    </row>
    <row r="9" spans="1:18" ht="14.4" thickBot="1">
      <c r="B9" s="306"/>
      <c r="C9" s="307" t="s">
        <v>31</v>
      </c>
      <c r="D9" s="625"/>
      <c r="E9" s="626"/>
      <c r="F9" s="626"/>
      <c r="G9" s="626"/>
      <c r="H9" s="627"/>
      <c r="I9" s="625"/>
      <c r="J9" s="626"/>
      <c r="K9" s="626"/>
      <c r="L9" s="626"/>
      <c r="M9" s="627"/>
      <c r="O9" s="28"/>
    </row>
    <row r="10" spans="1:18" ht="14.4" thickBot="1">
      <c r="O10" s="28"/>
    </row>
    <row r="11" spans="1:18">
      <c r="B11" s="96" t="s">
        <v>70</v>
      </c>
      <c r="C11" s="96"/>
      <c r="D11" s="588"/>
      <c r="E11" s="589"/>
      <c r="F11" s="589"/>
      <c r="G11" s="589"/>
      <c r="H11" s="590"/>
      <c r="I11" s="589"/>
      <c r="J11" s="589"/>
      <c r="K11" s="589"/>
      <c r="L11" s="589"/>
      <c r="M11" s="590"/>
      <c r="O11" s="28"/>
    </row>
    <row r="12" spans="1:18">
      <c r="B12" s="304"/>
      <c r="C12" s="95" t="s">
        <v>25</v>
      </c>
      <c r="D12" s="619" t="s">
        <v>772</v>
      </c>
      <c r="E12" s="620"/>
      <c r="F12" s="620"/>
      <c r="G12" s="620"/>
      <c r="H12" s="621"/>
      <c r="I12" s="619" t="s">
        <v>772</v>
      </c>
      <c r="J12" s="620"/>
      <c r="K12" s="620"/>
      <c r="L12" s="620"/>
      <c r="M12" s="621"/>
      <c r="O12" s="28"/>
    </row>
    <row r="13" spans="1:18">
      <c r="B13" s="304"/>
      <c r="C13" s="95" t="s">
        <v>151</v>
      </c>
      <c r="D13" s="619" t="s">
        <v>772</v>
      </c>
      <c r="E13" s="620"/>
      <c r="F13" s="620"/>
      <c r="G13" s="620"/>
      <c r="H13" s="621"/>
      <c r="I13" s="619" t="s">
        <v>772</v>
      </c>
      <c r="J13" s="620"/>
      <c r="K13" s="620"/>
      <c r="L13" s="620"/>
      <c r="M13" s="621"/>
      <c r="O13" s="28"/>
    </row>
    <row r="14" spans="1:18" ht="14.4" thickBot="1">
      <c r="B14" s="240"/>
      <c r="C14" s="32" t="s">
        <v>164</v>
      </c>
      <c r="D14" s="630" t="s">
        <v>205</v>
      </c>
      <c r="E14" s="631"/>
      <c r="F14" s="631"/>
      <c r="G14" s="631"/>
      <c r="H14" s="632"/>
      <c r="I14" s="630" t="s">
        <v>205</v>
      </c>
      <c r="J14" s="631"/>
      <c r="K14" s="631"/>
      <c r="L14" s="631"/>
      <c r="M14" s="632"/>
      <c r="O14" s="28"/>
    </row>
    <row r="15" spans="1:18" s="29" customFormat="1" ht="15" customHeight="1" thickBot="1">
      <c r="A15" s="28"/>
      <c r="B15" s="481" t="s">
        <v>70</v>
      </c>
      <c r="C15" s="482"/>
      <c r="D15" s="607" t="str">
        <f>IF(AND(D12="PASS",D13="PASS",D14="NO",I12="PASS",I13="PASS",I14="NO"),"PASS","FAIL")</f>
        <v>PASS</v>
      </c>
      <c r="E15" s="608"/>
      <c r="F15" s="608"/>
      <c r="G15" s="608"/>
      <c r="H15" s="608"/>
      <c r="I15" s="608"/>
      <c r="J15" s="608"/>
      <c r="K15" s="608"/>
      <c r="L15" s="608"/>
      <c r="M15" s="609"/>
      <c r="O15" s="28"/>
    </row>
    <row r="16" spans="1:18" ht="14.4" thickBot="1">
      <c r="O16" s="28"/>
    </row>
    <row r="17" spans="2:15" ht="30" customHeight="1" thickBot="1">
      <c r="B17" s="633" t="s">
        <v>23</v>
      </c>
      <c r="C17" s="634"/>
      <c r="D17" s="308">
        <v>-0.5</v>
      </c>
      <c r="E17" s="309">
        <v>-0.75</v>
      </c>
      <c r="F17" s="309">
        <v>1</v>
      </c>
      <c r="G17" s="309">
        <v>0.75</v>
      </c>
      <c r="H17" s="310">
        <v>0.5</v>
      </c>
      <c r="I17" s="311">
        <v>-0.5</v>
      </c>
      <c r="J17" s="312">
        <v>-0.75</v>
      </c>
      <c r="K17" s="312">
        <v>1</v>
      </c>
      <c r="L17" s="312">
        <v>0.75</v>
      </c>
      <c r="M17" s="313">
        <v>0.5</v>
      </c>
      <c r="O17" s="28"/>
    </row>
    <row r="18" spans="2:15" ht="15" customHeight="1">
      <c r="B18" s="635" t="s">
        <v>102</v>
      </c>
      <c r="C18" s="314">
        <v>10</v>
      </c>
      <c r="D18" s="170" t="s">
        <v>207</v>
      </c>
      <c r="E18" s="172" t="s">
        <v>207</v>
      </c>
      <c r="F18" s="172" t="s">
        <v>207</v>
      </c>
      <c r="G18" s="97" t="s">
        <v>207</v>
      </c>
      <c r="H18" s="124" t="s">
        <v>207</v>
      </c>
      <c r="I18" s="588"/>
      <c r="J18" s="589"/>
      <c r="K18" s="589"/>
      <c r="L18" s="589"/>
      <c r="M18" s="590"/>
      <c r="N18" s="301" t="str">
        <f t="array" ref="N18">IF(OR(CCRs_AEB_GR="Yellow",CCRs_AEB_GR="Orange",CCRs_AEB_GR="BROWN"),"CCRs AEB ERROR - Incorrect Colour where only Green, Red allowed","")</f>
        <v/>
      </c>
      <c r="O18" s="28"/>
    </row>
    <row r="19" spans="2:15" ht="15" customHeight="1">
      <c r="B19" s="636"/>
      <c r="C19" s="315">
        <v>15</v>
      </c>
      <c r="D19" s="171" t="s">
        <v>207</v>
      </c>
      <c r="E19" s="172" t="s">
        <v>207</v>
      </c>
      <c r="F19" s="172" t="s">
        <v>207</v>
      </c>
      <c r="G19" s="172" t="s">
        <v>207</v>
      </c>
      <c r="H19" s="173" t="s">
        <v>207</v>
      </c>
      <c r="I19" s="600"/>
      <c r="J19" s="601"/>
      <c r="K19" s="601"/>
      <c r="L19" s="601"/>
      <c r="M19" s="602"/>
      <c r="N19" s="301"/>
      <c r="O19" s="28"/>
    </row>
    <row r="20" spans="2:15" ht="15" customHeight="1">
      <c r="B20" s="636"/>
      <c r="C20" s="315">
        <v>20</v>
      </c>
      <c r="D20" s="171" t="s">
        <v>207</v>
      </c>
      <c r="E20" s="172" t="s">
        <v>207</v>
      </c>
      <c r="F20" s="172" t="s">
        <v>207</v>
      </c>
      <c r="G20" s="172" t="s">
        <v>207</v>
      </c>
      <c r="H20" s="173" t="s">
        <v>207</v>
      </c>
      <c r="I20" s="600"/>
      <c r="J20" s="601"/>
      <c r="K20" s="601"/>
      <c r="L20" s="601"/>
      <c r="M20" s="602"/>
      <c r="N20" s="301"/>
      <c r="O20" s="28"/>
    </row>
    <row r="21" spans="2:15" ht="15" customHeight="1">
      <c r="B21" s="636"/>
      <c r="C21" s="315">
        <v>25</v>
      </c>
      <c r="D21" s="171" t="s">
        <v>207</v>
      </c>
      <c r="E21" s="172" t="s">
        <v>207</v>
      </c>
      <c r="F21" s="172" t="s">
        <v>207</v>
      </c>
      <c r="G21" s="172" t="s">
        <v>207</v>
      </c>
      <c r="H21" s="173" t="s">
        <v>207</v>
      </c>
      <c r="I21" s="600"/>
      <c r="J21" s="601"/>
      <c r="K21" s="601"/>
      <c r="L21" s="601"/>
      <c r="M21" s="602"/>
      <c r="N21" s="301" t="str">
        <f t="array" ref="N21">IF(OR(CCRs_AEB_GOR="Yellow",CCRs_AEB_GOR="BROWN"),"CCRs AEB ERROR - Incorrect Colour where only Green, Orange, Red allowed","")</f>
        <v/>
      </c>
      <c r="O21" s="28"/>
    </row>
    <row r="22" spans="2:15" ht="15" customHeight="1">
      <c r="B22" s="636"/>
      <c r="C22" s="315">
        <v>30</v>
      </c>
      <c r="D22" s="171" t="s">
        <v>207</v>
      </c>
      <c r="E22" s="172" t="s">
        <v>207</v>
      </c>
      <c r="F22" s="172" t="s">
        <v>207</v>
      </c>
      <c r="G22" s="172" t="s">
        <v>207</v>
      </c>
      <c r="H22" s="173" t="s">
        <v>207</v>
      </c>
      <c r="I22" s="171" t="s">
        <v>207</v>
      </c>
      <c r="J22" s="242" t="s">
        <v>207</v>
      </c>
      <c r="K22" s="242" t="s">
        <v>207</v>
      </c>
      <c r="L22" s="242" t="s">
        <v>207</v>
      </c>
      <c r="M22" s="243" t="s">
        <v>207</v>
      </c>
      <c r="N22" s="301" t="str">
        <f t="array" ref="N22">IF(OR(CCRs_AEB_GYOR="BROWN"),"CCRs AEB ERROR - Incorrect Colour where only Green, Yellow, Orange, Red allowed","")</f>
        <v/>
      </c>
      <c r="O22" s="28"/>
    </row>
    <row r="23" spans="2:15" ht="15" customHeight="1">
      <c r="B23" s="636"/>
      <c r="C23" s="315">
        <v>35</v>
      </c>
      <c r="D23" s="171" t="s">
        <v>207</v>
      </c>
      <c r="E23" s="172" t="s">
        <v>207</v>
      </c>
      <c r="F23" s="172" t="s">
        <v>207</v>
      </c>
      <c r="G23" s="172" t="s">
        <v>207</v>
      </c>
      <c r="H23" s="173" t="s">
        <v>207</v>
      </c>
      <c r="I23" s="171" t="s">
        <v>207</v>
      </c>
      <c r="J23" s="242" t="s">
        <v>207</v>
      </c>
      <c r="K23" s="242" t="s">
        <v>207</v>
      </c>
      <c r="L23" s="242" t="s">
        <v>207</v>
      </c>
      <c r="M23" s="243" t="s">
        <v>207</v>
      </c>
      <c r="N23" s="301" t="str">
        <f t="array" ref="N23">IF(OR(CCRs_FCW_GYOR="BROWN"),"CCRs FCW ERROR - Incorrect Colour where only Green, Yellow, Orange, Red allowed","")</f>
        <v/>
      </c>
      <c r="O23" s="28"/>
    </row>
    <row r="24" spans="2:15" ht="15" customHeight="1">
      <c r="B24" s="636"/>
      <c r="C24" s="315">
        <v>40</v>
      </c>
      <c r="D24" s="171" t="s">
        <v>207</v>
      </c>
      <c r="E24" s="172" t="s">
        <v>207</v>
      </c>
      <c r="F24" s="172" t="s">
        <v>207</v>
      </c>
      <c r="G24" s="172" t="s">
        <v>207</v>
      </c>
      <c r="H24" s="173" t="s">
        <v>207</v>
      </c>
      <c r="I24" s="171" t="s">
        <v>207</v>
      </c>
      <c r="J24" s="242" t="s">
        <v>207</v>
      </c>
      <c r="K24" s="242" t="s">
        <v>207</v>
      </c>
      <c r="L24" s="242" t="s">
        <v>207</v>
      </c>
      <c r="M24" s="243" t="s">
        <v>207</v>
      </c>
      <c r="O24" s="28"/>
    </row>
    <row r="25" spans="2:15" ht="15" customHeight="1">
      <c r="B25" s="636"/>
      <c r="C25" s="315">
        <v>45</v>
      </c>
      <c r="D25" s="171" t="s">
        <v>207</v>
      </c>
      <c r="E25" s="172" t="s">
        <v>207</v>
      </c>
      <c r="F25" s="172" t="s">
        <v>207</v>
      </c>
      <c r="G25" s="172" t="s">
        <v>207</v>
      </c>
      <c r="H25" s="173" t="s">
        <v>207</v>
      </c>
      <c r="I25" s="171" t="s">
        <v>207</v>
      </c>
      <c r="J25" s="242" t="s">
        <v>207</v>
      </c>
      <c r="K25" s="242" t="s">
        <v>207</v>
      </c>
      <c r="L25" s="242" t="s">
        <v>207</v>
      </c>
      <c r="M25" s="243" t="s">
        <v>207</v>
      </c>
      <c r="O25" s="28"/>
    </row>
    <row r="26" spans="2:15" ht="15" customHeight="1">
      <c r="B26" s="636"/>
      <c r="C26" s="315">
        <v>50</v>
      </c>
      <c r="D26" s="171" t="s">
        <v>207</v>
      </c>
      <c r="E26" s="172" t="s">
        <v>207</v>
      </c>
      <c r="F26" s="172" t="s">
        <v>207</v>
      </c>
      <c r="G26" s="172" t="s">
        <v>207</v>
      </c>
      <c r="H26" s="173" t="s">
        <v>207</v>
      </c>
      <c r="I26" s="171" t="s">
        <v>207</v>
      </c>
      <c r="J26" s="242" t="s">
        <v>207</v>
      </c>
      <c r="K26" s="242" t="s">
        <v>207</v>
      </c>
      <c r="L26" s="242" t="s">
        <v>207</v>
      </c>
      <c r="M26" s="243" t="s">
        <v>207</v>
      </c>
      <c r="O26" s="28"/>
    </row>
    <row r="27" spans="2:15" ht="15" customHeight="1">
      <c r="B27" s="636"/>
      <c r="C27" s="315">
        <v>55</v>
      </c>
      <c r="D27" s="600"/>
      <c r="E27" s="601"/>
      <c r="F27" s="601"/>
      <c r="G27" s="601"/>
      <c r="H27" s="601"/>
      <c r="I27" s="171" t="s">
        <v>208</v>
      </c>
      <c r="J27" s="242" t="s">
        <v>210</v>
      </c>
      <c r="K27" s="242" t="s">
        <v>207</v>
      </c>
      <c r="L27" s="242" t="s">
        <v>210</v>
      </c>
      <c r="M27" s="243" t="s">
        <v>208</v>
      </c>
      <c r="O27" s="28"/>
    </row>
    <row r="28" spans="2:15" ht="15" customHeight="1">
      <c r="B28" s="636"/>
      <c r="C28" s="315">
        <v>60</v>
      </c>
      <c r="D28" s="600"/>
      <c r="E28" s="601"/>
      <c r="F28" s="601"/>
      <c r="G28" s="601"/>
      <c r="H28" s="601"/>
      <c r="I28" s="171" t="s">
        <v>208</v>
      </c>
      <c r="J28" s="242" t="s">
        <v>208</v>
      </c>
      <c r="K28" s="242" t="s">
        <v>210</v>
      </c>
      <c r="L28" s="242" t="s">
        <v>208</v>
      </c>
      <c r="M28" s="243" t="s">
        <v>208</v>
      </c>
      <c r="O28" s="28"/>
    </row>
    <row r="29" spans="2:15" ht="15" customHeight="1">
      <c r="B29" s="636"/>
      <c r="C29" s="315">
        <v>65</v>
      </c>
      <c r="D29" s="600"/>
      <c r="E29" s="601"/>
      <c r="F29" s="601"/>
      <c r="G29" s="601"/>
      <c r="H29" s="601"/>
      <c r="I29" s="171" t="s">
        <v>208</v>
      </c>
      <c r="J29" s="242" t="s">
        <v>208</v>
      </c>
      <c r="K29" s="242" t="s">
        <v>208</v>
      </c>
      <c r="L29" s="242" t="s">
        <v>208</v>
      </c>
      <c r="M29" s="243" t="s">
        <v>208</v>
      </c>
      <c r="O29" s="28"/>
    </row>
    <row r="30" spans="2:15" ht="15" customHeight="1">
      <c r="B30" s="636"/>
      <c r="C30" s="315">
        <v>70</v>
      </c>
      <c r="D30" s="600"/>
      <c r="E30" s="601"/>
      <c r="F30" s="601"/>
      <c r="G30" s="601"/>
      <c r="H30" s="601"/>
      <c r="I30" s="171" t="s">
        <v>206</v>
      </c>
      <c r="J30" s="242" t="s">
        <v>206</v>
      </c>
      <c r="K30" s="242" t="s">
        <v>208</v>
      </c>
      <c r="L30" s="242" t="s">
        <v>206</v>
      </c>
      <c r="M30" s="243" t="s">
        <v>206</v>
      </c>
      <c r="O30" s="28"/>
    </row>
    <row r="31" spans="2:15" ht="15" customHeight="1">
      <c r="B31" s="636"/>
      <c r="C31" s="315">
        <v>75</v>
      </c>
      <c r="D31" s="600"/>
      <c r="E31" s="601"/>
      <c r="F31" s="601"/>
      <c r="G31" s="601"/>
      <c r="H31" s="601"/>
      <c r="I31" s="171" t="s">
        <v>206</v>
      </c>
      <c r="J31" s="242" t="s">
        <v>206</v>
      </c>
      <c r="K31" s="242" t="s">
        <v>206</v>
      </c>
      <c r="L31" s="242" t="s">
        <v>206</v>
      </c>
      <c r="M31" s="243" t="s">
        <v>206</v>
      </c>
      <c r="O31" s="28"/>
    </row>
    <row r="32" spans="2:15" ht="15" customHeight="1" thickBot="1">
      <c r="B32" s="637"/>
      <c r="C32" s="316">
        <v>80</v>
      </c>
      <c r="D32" s="628"/>
      <c r="E32" s="629"/>
      <c r="F32" s="629"/>
      <c r="G32" s="629"/>
      <c r="H32" s="629"/>
      <c r="I32" s="302" t="s">
        <v>206</v>
      </c>
      <c r="J32" s="174" t="s">
        <v>206</v>
      </c>
      <c r="K32" s="174" t="s">
        <v>206</v>
      </c>
      <c r="L32" s="174" t="s">
        <v>206</v>
      </c>
      <c r="M32" s="175" t="s">
        <v>206</v>
      </c>
      <c r="O32" s="28"/>
    </row>
    <row r="33" spans="2:15" ht="15" customHeight="1" thickBot="1">
      <c r="B33" s="638" t="s">
        <v>152</v>
      </c>
      <c r="C33" s="639"/>
      <c r="D33" s="643">
        <v>1</v>
      </c>
      <c r="E33" s="643"/>
      <c r="F33" s="643"/>
      <c r="G33" s="643"/>
      <c r="H33" s="644"/>
      <c r="I33" s="643">
        <v>0.76390000000000002</v>
      </c>
      <c r="J33" s="643"/>
      <c r="K33" s="643"/>
      <c r="L33" s="643"/>
      <c r="M33" s="644"/>
      <c r="O33" s="28"/>
    </row>
    <row r="34" spans="2:15" ht="15" customHeight="1" thickBot="1">
      <c r="B34" s="94"/>
      <c r="E34" s="94"/>
      <c r="J34" s="94"/>
      <c r="O34" s="28"/>
    </row>
    <row r="35" spans="2:15" ht="30" customHeight="1" thickBot="1">
      <c r="B35" s="633" t="s">
        <v>32</v>
      </c>
      <c r="C35" s="634"/>
      <c r="D35" s="317">
        <v>-0.5</v>
      </c>
      <c r="E35" s="312">
        <v>-0.75</v>
      </c>
      <c r="F35" s="318">
        <v>1</v>
      </c>
      <c r="G35" s="312">
        <v>0.75</v>
      </c>
      <c r="H35" s="313">
        <v>0.5</v>
      </c>
      <c r="I35" s="317">
        <v>-0.5</v>
      </c>
      <c r="J35" s="312">
        <v>-0.75</v>
      </c>
      <c r="K35" s="312">
        <v>1</v>
      </c>
      <c r="L35" s="312">
        <v>0.75</v>
      </c>
      <c r="M35" s="313">
        <v>0.5</v>
      </c>
      <c r="O35" s="28"/>
    </row>
    <row r="36" spans="2:15" ht="15" customHeight="1">
      <c r="B36" s="635" t="s">
        <v>102</v>
      </c>
      <c r="C36" s="319">
        <v>30</v>
      </c>
      <c r="D36" s="170" t="s">
        <v>207</v>
      </c>
      <c r="E36" s="97" t="s">
        <v>207</v>
      </c>
      <c r="F36" s="97" t="s">
        <v>207</v>
      </c>
      <c r="G36" s="97" t="s">
        <v>207</v>
      </c>
      <c r="H36" s="124" t="s">
        <v>207</v>
      </c>
      <c r="I36" s="588"/>
      <c r="J36" s="589"/>
      <c r="K36" s="589"/>
      <c r="L36" s="589"/>
      <c r="M36" s="590"/>
      <c r="N36" s="301" t="str">
        <f t="array" ref="N36">IF(OR(CCRm_AEB_GR="Yellow",CCRm_AEB_GR="Orange",CCRm_AEB_GR="BROWN"),"CCRm AEB ERROR - Incorrect Colour where only Green, Red allowed","")</f>
        <v/>
      </c>
      <c r="O36" s="28"/>
    </row>
    <row r="37" spans="2:15" ht="15" customHeight="1">
      <c r="B37" s="636"/>
      <c r="C37" s="320">
        <v>35</v>
      </c>
      <c r="D37" s="171" t="s">
        <v>207</v>
      </c>
      <c r="E37" s="242" t="s">
        <v>207</v>
      </c>
      <c r="F37" s="242" t="s">
        <v>207</v>
      </c>
      <c r="G37" s="242" t="s">
        <v>207</v>
      </c>
      <c r="H37" s="243" t="s">
        <v>207</v>
      </c>
      <c r="I37" s="600"/>
      <c r="J37" s="601"/>
      <c r="K37" s="601"/>
      <c r="L37" s="601"/>
      <c r="M37" s="602"/>
      <c r="N37" s="301"/>
      <c r="O37" s="28"/>
    </row>
    <row r="38" spans="2:15" ht="15" customHeight="1">
      <c r="B38" s="636"/>
      <c r="C38" s="320">
        <v>40</v>
      </c>
      <c r="D38" s="171" t="s">
        <v>207</v>
      </c>
      <c r="E38" s="242" t="s">
        <v>207</v>
      </c>
      <c r="F38" s="242" t="s">
        <v>207</v>
      </c>
      <c r="G38" s="242" t="s">
        <v>207</v>
      </c>
      <c r="H38" s="243" t="s">
        <v>207</v>
      </c>
      <c r="I38" s="600"/>
      <c r="J38" s="601"/>
      <c r="K38" s="601"/>
      <c r="L38" s="601"/>
      <c r="M38" s="602"/>
      <c r="N38" s="301" t="str">
        <f t="array" ref="N38">IF(OR(CCRm_AEB_GOR="Yellow",CCRm_AEB_GOR="BROWN"),"CCRm AEB ERROR - Incorrect Colour where only Green, Orange, Red allowed","")</f>
        <v/>
      </c>
      <c r="O38" s="28"/>
    </row>
    <row r="39" spans="2:15" ht="15" customHeight="1">
      <c r="B39" s="636"/>
      <c r="C39" s="320">
        <v>45</v>
      </c>
      <c r="D39" s="171" t="s">
        <v>207</v>
      </c>
      <c r="E39" s="242" t="s">
        <v>207</v>
      </c>
      <c r="F39" s="242" t="s">
        <v>207</v>
      </c>
      <c r="G39" s="242" t="s">
        <v>207</v>
      </c>
      <c r="H39" s="243" t="s">
        <v>207</v>
      </c>
      <c r="I39" s="600"/>
      <c r="J39" s="601"/>
      <c r="K39" s="601"/>
      <c r="L39" s="601"/>
      <c r="M39" s="602"/>
      <c r="N39" s="301"/>
      <c r="O39" s="28"/>
    </row>
    <row r="40" spans="2:15" ht="15" customHeight="1">
      <c r="B40" s="636"/>
      <c r="C40" s="320">
        <v>50</v>
      </c>
      <c r="D40" s="171" t="s">
        <v>207</v>
      </c>
      <c r="E40" s="242" t="s">
        <v>207</v>
      </c>
      <c r="F40" s="242" t="s">
        <v>207</v>
      </c>
      <c r="G40" s="242" t="s">
        <v>207</v>
      </c>
      <c r="H40" s="243" t="s">
        <v>207</v>
      </c>
      <c r="I40" s="171" t="s">
        <v>207</v>
      </c>
      <c r="J40" s="242" t="s">
        <v>207</v>
      </c>
      <c r="K40" s="242" t="s">
        <v>207</v>
      </c>
      <c r="L40" s="242" t="s">
        <v>207</v>
      </c>
      <c r="M40" s="243" t="s">
        <v>207</v>
      </c>
      <c r="N40" s="301" t="str">
        <f t="array" ref="N40">IF(OR(CCRm_AEB_GYOR="BROWN"),"CCRm AEB ERROR - Incorrect Colour where only Green, Yellow, Orange, Red allowed","")</f>
        <v/>
      </c>
      <c r="O40" s="28"/>
    </row>
    <row r="41" spans="2:15" ht="15" customHeight="1">
      <c r="B41" s="636"/>
      <c r="C41" s="320">
        <v>55</v>
      </c>
      <c r="D41" s="171" t="s">
        <v>207</v>
      </c>
      <c r="E41" s="242" t="s">
        <v>207</v>
      </c>
      <c r="F41" s="242" t="s">
        <v>207</v>
      </c>
      <c r="G41" s="242" t="s">
        <v>207</v>
      </c>
      <c r="H41" s="243" t="s">
        <v>207</v>
      </c>
      <c r="I41" s="171" t="s">
        <v>207</v>
      </c>
      <c r="J41" s="242" t="s">
        <v>207</v>
      </c>
      <c r="K41" s="242" t="s">
        <v>207</v>
      </c>
      <c r="L41" s="242" t="s">
        <v>207</v>
      </c>
      <c r="M41" s="243" t="s">
        <v>207</v>
      </c>
      <c r="N41" s="301" t="str">
        <f t="array" ref="N41">IF(OR(CCRm_FCW_GYOR="BROWN"),"CCRm FCW ERROR - Incorrect Colour where only Green, Yellow, Orange, Red allowed","")</f>
        <v/>
      </c>
      <c r="O41" s="28"/>
    </row>
    <row r="42" spans="2:15" ht="15" customHeight="1">
      <c r="B42" s="636"/>
      <c r="C42" s="320">
        <v>60</v>
      </c>
      <c r="D42" s="171" t="s">
        <v>207</v>
      </c>
      <c r="E42" s="242" t="s">
        <v>207</v>
      </c>
      <c r="F42" s="242" t="s">
        <v>207</v>
      </c>
      <c r="G42" s="242" t="s">
        <v>207</v>
      </c>
      <c r="H42" s="243" t="s">
        <v>207</v>
      </c>
      <c r="I42" s="171" t="s">
        <v>207</v>
      </c>
      <c r="J42" s="242" t="s">
        <v>207</v>
      </c>
      <c r="K42" s="242" t="s">
        <v>207</v>
      </c>
      <c r="L42" s="242" t="s">
        <v>207</v>
      </c>
      <c r="M42" s="243" t="s">
        <v>207</v>
      </c>
      <c r="N42" s="41"/>
      <c r="O42" s="28"/>
    </row>
    <row r="43" spans="2:15" ht="15" customHeight="1">
      <c r="B43" s="636"/>
      <c r="C43" s="320">
        <v>65</v>
      </c>
      <c r="D43" s="171" t="s">
        <v>207</v>
      </c>
      <c r="E43" s="242" t="s">
        <v>210</v>
      </c>
      <c r="F43" s="242" t="s">
        <v>210</v>
      </c>
      <c r="G43" s="242" t="s">
        <v>210</v>
      </c>
      <c r="H43" s="243" t="s">
        <v>210</v>
      </c>
      <c r="I43" s="171" t="s">
        <v>207</v>
      </c>
      <c r="J43" s="242" t="s">
        <v>207</v>
      </c>
      <c r="K43" s="242" t="s">
        <v>207</v>
      </c>
      <c r="L43" s="242" t="s">
        <v>207</v>
      </c>
      <c r="M43" s="243" t="s">
        <v>207</v>
      </c>
      <c r="N43" s="41"/>
      <c r="O43" s="28"/>
    </row>
    <row r="44" spans="2:15" ht="15" customHeight="1">
      <c r="B44" s="636"/>
      <c r="C44" s="320">
        <v>70</v>
      </c>
      <c r="D44" s="171" t="s">
        <v>208</v>
      </c>
      <c r="E44" s="242" t="s">
        <v>208</v>
      </c>
      <c r="F44" s="242" t="s">
        <v>208</v>
      </c>
      <c r="G44" s="242" t="s">
        <v>208</v>
      </c>
      <c r="H44" s="243" t="s">
        <v>208</v>
      </c>
      <c r="I44" s="171" t="s">
        <v>207</v>
      </c>
      <c r="J44" s="242" t="s">
        <v>210</v>
      </c>
      <c r="K44" s="242" t="s">
        <v>207</v>
      </c>
      <c r="L44" s="242" t="s">
        <v>210</v>
      </c>
      <c r="M44" s="243" t="s">
        <v>207</v>
      </c>
      <c r="N44" s="41"/>
      <c r="O44" s="28"/>
    </row>
    <row r="45" spans="2:15" ht="15" customHeight="1">
      <c r="B45" s="636"/>
      <c r="C45" s="320">
        <v>75</v>
      </c>
      <c r="D45" s="171" t="s">
        <v>209</v>
      </c>
      <c r="E45" s="242" t="s">
        <v>208</v>
      </c>
      <c r="F45" s="242" t="s">
        <v>208</v>
      </c>
      <c r="G45" s="242" t="s">
        <v>208</v>
      </c>
      <c r="H45" s="243" t="s">
        <v>209</v>
      </c>
      <c r="I45" s="171" t="s">
        <v>208</v>
      </c>
      <c r="J45" s="242" t="s">
        <v>210</v>
      </c>
      <c r="K45" s="242" t="s">
        <v>210</v>
      </c>
      <c r="L45" s="242" t="s">
        <v>210</v>
      </c>
      <c r="M45" s="243" t="s">
        <v>208</v>
      </c>
      <c r="N45" s="41"/>
      <c r="O45" s="28"/>
    </row>
    <row r="46" spans="2:15" ht="15" customHeight="1" thickBot="1">
      <c r="B46" s="637"/>
      <c r="C46" s="321">
        <v>80</v>
      </c>
      <c r="D46" s="302" t="s">
        <v>206</v>
      </c>
      <c r="E46" s="174" t="s">
        <v>206</v>
      </c>
      <c r="F46" s="174" t="s">
        <v>206</v>
      </c>
      <c r="G46" s="174" t="s">
        <v>206</v>
      </c>
      <c r="H46" s="175" t="s">
        <v>206</v>
      </c>
      <c r="I46" s="302" t="s">
        <v>208</v>
      </c>
      <c r="J46" s="174" t="s">
        <v>208</v>
      </c>
      <c r="K46" s="174" t="s">
        <v>208</v>
      </c>
      <c r="L46" s="174" t="s">
        <v>208</v>
      </c>
      <c r="M46" s="175" t="s">
        <v>208</v>
      </c>
      <c r="N46" s="41"/>
      <c r="O46" s="28"/>
    </row>
    <row r="47" spans="2:15" ht="15" customHeight="1" thickBot="1">
      <c r="B47" s="638" t="s">
        <v>153</v>
      </c>
      <c r="C47" s="639"/>
      <c r="D47" s="640">
        <v>0.69440000000000002</v>
      </c>
      <c r="E47" s="641"/>
      <c r="F47" s="641"/>
      <c r="G47" s="641"/>
      <c r="H47" s="642"/>
      <c r="I47" s="643">
        <v>0.83330000000000004</v>
      </c>
      <c r="J47" s="643"/>
      <c r="K47" s="643"/>
      <c r="L47" s="643"/>
      <c r="M47" s="644"/>
      <c r="O47" s="28"/>
    </row>
    <row r="48" spans="2:15" ht="15" customHeight="1" thickBot="1">
      <c r="B48" s="94"/>
      <c r="E48" s="94"/>
      <c r="J48" s="94"/>
      <c r="O48" s="28"/>
    </row>
    <row r="49" spans="1:15" ht="30" customHeight="1" thickBot="1">
      <c r="B49" s="633" t="s">
        <v>33</v>
      </c>
      <c r="C49" s="634"/>
      <c r="D49" s="634"/>
      <c r="E49" s="634"/>
      <c r="F49" s="634"/>
      <c r="G49" s="634"/>
      <c r="H49" s="634"/>
      <c r="I49" s="634"/>
      <c r="J49" s="634"/>
      <c r="K49" s="634"/>
      <c r="L49" s="634"/>
      <c r="M49" s="645"/>
      <c r="O49" s="28"/>
    </row>
    <row r="50" spans="1:15" ht="15" customHeight="1" thickBot="1">
      <c r="B50" s="646" t="s">
        <v>154</v>
      </c>
      <c r="C50" s="647"/>
      <c r="D50" s="648" t="s">
        <v>155</v>
      </c>
      <c r="E50" s="649"/>
      <c r="F50" s="649" t="s">
        <v>10</v>
      </c>
      <c r="G50" s="649"/>
      <c r="H50" s="650"/>
      <c r="I50" s="648" t="s">
        <v>155</v>
      </c>
      <c r="J50" s="649"/>
      <c r="K50" s="649" t="s">
        <v>10</v>
      </c>
      <c r="L50" s="649"/>
      <c r="M50" s="650"/>
      <c r="O50" s="28"/>
    </row>
    <row r="51" spans="1:15" ht="15" customHeight="1">
      <c r="B51" s="322"/>
      <c r="C51" s="323" t="s">
        <v>34</v>
      </c>
      <c r="D51" s="575"/>
      <c r="E51" s="576"/>
      <c r="F51" s="577"/>
      <c r="G51" s="577"/>
      <c r="H51" s="578"/>
      <c r="I51" s="575"/>
      <c r="J51" s="576"/>
      <c r="K51" s="577"/>
      <c r="L51" s="577"/>
      <c r="M51" s="578"/>
      <c r="O51" s="28"/>
    </row>
    <row r="52" spans="1:15" ht="15" customHeight="1">
      <c r="B52" s="322"/>
      <c r="C52" s="324" t="s">
        <v>35</v>
      </c>
      <c r="D52" s="580" t="s">
        <v>207</v>
      </c>
      <c r="E52" s="581"/>
      <c r="F52" s="577">
        <f>IF(D52="Green",1,IF(D52="Yellow",0.75,IF(D52="Orange",0.5,IF(D52="Brown",0.25,0))))</f>
        <v>1</v>
      </c>
      <c r="G52" s="577"/>
      <c r="H52" s="578"/>
      <c r="I52" s="580" t="s">
        <v>207</v>
      </c>
      <c r="J52" s="581"/>
      <c r="K52" s="577">
        <f>IF(I52="Green",1,IF(I52="Yellow",0.75,IF(I52="Orange",0.5,IF(I52="Brown",0.25,0))))</f>
        <v>1</v>
      </c>
      <c r="L52" s="577"/>
      <c r="M52" s="578"/>
      <c r="O52" s="28"/>
    </row>
    <row r="53" spans="1:15" ht="15" customHeight="1">
      <c r="B53" s="322"/>
      <c r="C53" s="324" t="s">
        <v>36</v>
      </c>
      <c r="D53" s="580" t="s">
        <v>207</v>
      </c>
      <c r="E53" s="581"/>
      <c r="F53" s="577">
        <f>IF(D53="Green",1,IF(D53="Yellow",0.75,IF(D53="Orange",0.5,IF(D53="Brown",0.25,0))))</f>
        <v>1</v>
      </c>
      <c r="G53" s="577"/>
      <c r="H53" s="578"/>
      <c r="I53" s="580" t="s">
        <v>207</v>
      </c>
      <c r="J53" s="581"/>
      <c r="K53" s="577">
        <f>IF(I53="Green",1,IF(I53="Yellow",0.75,IF(I53="Orange",0.5,IF(I53="Brown",0.25,0))))</f>
        <v>1</v>
      </c>
      <c r="L53" s="577"/>
      <c r="M53" s="578"/>
      <c r="O53" s="28"/>
    </row>
    <row r="54" spans="1:15" ht="15" customHeight="1">
      <c r="B54" s="322"/>
      <c r="C54" s="323" t="s">
        <v>37</v>
      </c>
      <c r="D54" s="575"/>
      <c r="E54" s="576"/>
      <c r="F54" s="576"/>
      <c r="G54" s="576"/>
      <c r="H54" s="579"/>
      <c r="I54" s="575"/>
      <c r="J54" s="576"/>
      <c r="K54" s="576"/>
      <c r="L54" s="576"/>
      <c r="M54" s="579"/>
      <c r="O54" s="28"/>
    </row>
    <row r="55" spans="1:15" ht="15" customHeight="1">
      <c r="B55" s="322"/>
      <c r="C55" s="324" t="s">
        <v>35</v>
      </c>
      <c r="D55" s="580" t="s">
        <v>207</v>
      </c>
      <c r="E55" s="581"/>
      <c r="F55" s="577">
        <f>IF(D55="Green",1,IF(D55="Yellow",0.75,IF(D55="Orange",0.5,IF(D55="Brown",0.25,0))))</f>
        <v>1</v>
      </c>
      <c r="G55" s="577"/>
      <c r="H55" s="578"/>
      <c r="I55" s="580" t="s">
        <v>207</v>
      </c>
      <c r="J55" s="581"/>
      <c r="K55" s="577">
        <f>IF(I55="Green",1,IF(I55="Yellow",0.75,IF(I55="Orange",0.5,IF(I55="Brown",0.25,0))))</f>
        <v>1</v>
      </c>
      <c r="L55" s="577"/>
      <c r="M55" s="578"/>
      <c r="O55" s="28"/>
    </row>
    <row r="56" spans="1:15" ht="15" customHeight="1" thickBot="1">
      <c r="B56" s="325"/>
      <c r="C56" s="326" t="s">
        <v>36</v>
      </c>
      <c r="D56" s="582" t="s">
        <v>207</v>
      </c>
      <c r="E56" s="583"/>
      <c r="F56" s="584">
        <f>IF(D56="Green",1,IF(D56="Yellow",0.75,IF(D56="Orange",0.5,IF(D56="Brown",0.25,0))))</f>
        <v>1</v>
      </c>
      <c r="G56" s="584"/>
      <c r="H56" s="585"/>
      <c r="I56" s="582" t="s">
        <v>207</v>
      </c>
      <c r="J56" s="583"/>
      <c r="K56" s="584">
        <f>IF(I56="Green",1,IF(I56="Yellow",0.75,IF(I56="Orange",0.5,IF(I56="Brown",0.25,0))))</f>
        <v>1</v>
      </c>
      <c r="L56" s="584"/>
      <c r="M56" s="585"/>
      <c r="O56" s="28"/>
    </row>
    <row r="57" spans="1:15" s="29" customFormat="1" ht="15" customHeight="1" thickBot="1">
      <c r="A57" s="28"/>
      <c r="B57" s="481" t="s">
        <v>38</v>
      </c>
      <c r="C57" s="523"/>
      <c r="D57" s="651">
        <f>SUM(F52:H53,F55:H56)/4</f>
        <v>1</v>
      </c>
      <c r="E57" s="652"/>
      <c r="F57" s="652"/>
      <c r="G57" s="652"/>
      <c r="H57" s="653"/>
      <c r="I57" s="651">
        <f>SUM(K52:M53,K55:M56)/4</f>
        <v>1</v>
      </c>
      <c r="J57" s="652"/>
      <c r="K57" s="652"/>
      <c r="L57" s="652"/>
      <c r="M57" s="653"/>
      <c r="O57" s="28"/>
    </row>
    <row r="58" spans="1:15" ht="15" customHeight="1" thickBot="1">
      <c r="B58" s="94"/>
      <c r="E58" s="94"/>
      <c r="J58" s="94"/>
      <c r="O58" s="28"/>
    </row>
    <row r="59" spans="1:15" ht="15" customHeight="1" thickBot="1">
      <c r="B59" s="660" t="s">
        <v>689</v>
      </c>
      <c r="C59" s="661"/>
      <c r="D59" s="661"/>
      <c r="E59" s="661"/>
      <c r="F59" s="661"/>
      <c r="G59" s="661"/>
      <c r="H59" s="661"/>
      <c r="I59" s="661"/>
      <c r="J59" s="661"/>
      <c r="K59" s="661"/>
      <c r="L59" s="661"/>
      <c r="M59" s="662"/>
      <c r="O59" s="28"/>
    </row>
    <row r="60" spans="1:15" ht="15" customHeight="1" thickBot="1">
      <c r="B60" s="646"/>
      <c r="C60" s="647"/>
      <c r="D60" s="656" t="s">
        <v>690</v>
      </c>
      <c r="E60" s="657"/>
      <c r="F60" s="327" t="s">
        <v>691</v>
      </c>
      <c r="G60" s="327" t="s">
        <v>692</v>
      </c>
      <c r="H60" s="328" t="s">
        <v>10</v>
      </c>
      <c r="I60" s="327" t="s">
        <v>690</v>
      </c>
      <c r="J60" s="327" t="s">
        <v>693</v>
      </c>
      <c r="K60" s="327" t="s">
        <v>691</v>
      </c>
      <c r="L60" s="327" t="s">
        <v>692</v>
      </c>
      <c r="M60" s="328" t="s">
        <v>10</v>
      </c>
      <c r="O60" s="28"/>
    </row>
    <row r="61" spans="1:15" ht="15" hidden="1" customHeight="1">
      <c r="B61" s="322"/>
      <c r="C61" s="329"/>
      <c r="D61" s="658"/>
      <c r="E61" s="659"/>
      <c r="F61" s="358"/>
      <c r="G61" s="349"/>
      <c r="H61" s="330"/>
      <c r="I61" s="362"/>
      <c r="J61" s="353"/>
      <c r="K61" s="358"/>
      <c r="L61" s="356"/>
      <c r="M61" s="330"/>
      <c r="O61" s="28"/>
    </row>
    <row r="62" spans="1:15" ht="15" hidden="1" customHeight="1">
      <c r="B62" s="322"/>
      <c r="C62" s="329"/>
      <c r="D62" s="654"/>
      <c r="E62" s="655"/>
      <c r="F62" s="359"/>
      <c r="G62" s="350"/>
      <c r="H62" s="117"/>
      <c r="I62" s="363"/>
      <c r="J62" s="354"/>
      <c r="K62" s="359"/>
      <c r="L62" s="357"/>
      <c r="M62" s="117"/>
      <c r="O62" s="28"/>
    </row>
    <row r="63" spans="1:15" ht="15" hidden="1" customHeight="1">
      <c r="B63" s="322"/>
      <c r="C63" s="329"/>
      <c r="D63" s="654"/>
      <c r="E63" s="655"/>
      <c r="F63" s="359"/>
      <c r="G63" s="350"/>
      <c r="H63" s="117"/>
      <c r="I63" s="363"/>
      <c r="J63" s="354"/>
      <c r="K63" s="359"/>
      <c r="L63" s="357"/>
      <c r="M63" s="117"/>
      <c r="O63" s="28"/>
    </row>
    <row r="64" spans="1:15" ht="15" hidden="1" customHeight="1">
      <c r="B64" s="322"/>
      <c r="C64" s="329"/>
      <c r="D64" s="654"/>
      <c r="E64" s="655"/>
      <c r="F64" s="359"/>
      <c r="G64" s="350"/>
      <c r="H64" s="117"/>
      <c r="I64" s="363"/>
      <c r="J64" s="354"/>
      <c r="K64" s="359"/>
      <c r="L64" s="357"/>
      <c r="M64" s="117"/>
      <c r="O64" s="28"/>
    </row>
    <row r="65" spans="2:15" ht="15" hidden="1" customHeight="1">
      <c r="B65" s="322"/>
      <c r="C65" s="329"/>
      <c r="D65" s="654"/>
      <c r="E65" s="655"/>
      <c r="F65" s="359"/>
      <c r="G65" s="350"/>
      <c r="H65" s="117"/>
      <c r="I65" s="363"/>
      <c r="J65" s="354"/>
      <c r="K65" s="359"/>
      <c r="L65" s="357"/>
      <c r="M65" s="117"/>
      <c r="O65" s="28"/>
    </row>
    <row r="66" spans="2:15" ht="15" hidden="1" customHeight="1">
      <c r="B66" s="322"/>
      <c r="C66" s="329"/>
      <c r="D66" s="654"/>
      <c r="E66" s="655"/>
      <c r="F66" s="359"/>
      <c r="G66" s="350"/>
      <c r="H66" s="117"/>
      <c r="I66" s="363"/>
      <c r="J66" s="354"/>
      <c r="K66" s="359"/>
      <c r="L66" s="357"/>
      <c r="M66" s="117"/>
      <c r="O66" s="28"/>
    </row>
    <row r="67" spans="2:15" ht="15" hidden="1" customHeight="1">
      <c r="B67" s="322"/>
      <c r="C67" s="329"/>
      <c r="D67" s="654"/>
      <c r="E67" s="655"/>
      <c r="F67" s="359"/>
      <c r="G67" s="350"/>
      <c r="H67" s="117" t="str">
        <f>IF(G67="","",actual_AEB_score(D67,G67,F67))</f>
        <v/>
      </c>
      <c r="I67" s="363"/>
      <c r="J67" s="354"/>
      <c r="K67" s="359"/>
      <c r="L67" s="357"/>
      <c r="M67" s="117" t="str">
        <f>IF(L67="","",actual_AEB_score(I67,L67,K67))</f>
        <v/>
      </c>
      <c r="O67" s="28"/>
    </row>
    <row r="68" spans="2:15" ht="15" hidden="1" customHeight="1">
      <c r="B68" s="322"/>
      <c r="C68" s="329"/>
      <c r="D68" s="654"/>
      <c r="E68" s="655"/>
      <c r="F68" s="359"/>
      <c r="G68" s="350"/>
      <c r="H68" s="117" t="str">
        <f>IF(G68="","",actual_AEB_score(D68,G68,F68))</f>
        <v/>
      </c>
      <c r="I68" s="363"/>
      <c r="J68" s="354"/>
      <c r="K68" s="359"/>
      <c r="L68" s="357"/>
      <c r="M68" s="117" t="str">
        <f>IF(L68="","",actual_AEB_score(I68,L68,K68))</f>
        <v/>
      </c>
      <c r="O68" s="28"/>
    </row>
    <row r="69" spans="2:15" ht="15" hidden="1" customHeight="1">
      <c r="B69" s="322"/>
      <c r="C69" s="329"/>
      <c r="D69" s="654"/>
      <c r="E69" s="655"/>
      <c r="F69" s="359"/>
      <c r="G69" s="350"/>
      <c r="H69" s="117" t="str">
        <f>IF(G69="","",actual_AEB_score(D69,G69,F69))</f>
        <v/>
      </c>
      <c r="I69" s="363"/>
      <c r="J69" s="354"/>
      <c r="K69" s="359"/>
      <c r="L69" s="357"/>
      <c r="M69" s="117" t="str">
        <f>IF(L69="","",actual_AEB_score(I69,L69,K69))</f>
        <v/>
      </c>
      <c r="O69" s="28"/>
    </row>
    <row r="70" spans="2:15" ht="15" hidden="1" customHeight="1">
      <c r="B70" s="322"/>
      <c r="C70" s="329"/>
      <c r="D70" s="654"/>
      <c r="E70" s="655"/>
      <c r="F70" s="359"/>
      <c r="G70" s="350"/>
      <c r="H70" s="117" t="str">
        <f>IF(G70="","",actual_AEB_score(D70,G70,F70))</f>
        <v/>
      </c>
      <c r="I70" s="363"/>
      <c r="J70" s="354"/>
      <c r="K70" s="359"/>
      <c r="L70" s="357"/>
      <c r="M70" s="117" t="str">
        <f>IF(L70="","",actual_AEB_score(I70,L70,K70))</f>
        <v/>
      </c>
      <c r="O70" s="28"/>
    </row>
    <row r="71" spans="2:15" ht="15" hidden="1" customHeight="1">
      <c r="B71" s="322"/>
      <c r="C71" s="329"/>
      <c r="D71" s="551"/>
      <c r="E71" s="552"/>
      <c r="F71" s="360"/>
      <c r="G71" s="351"/>
      <c r="H71" s="117" t="str">
        <f>IF(G71="","",actual_AEB_score(D71,G71,F71))</f>
        <v/>
      </c>
      <c r="I71" s="363"/>
      <c r="J71" s="354"/>
      <c r="K71" s="360"/>
      <c r="L71" s="351"/>
      <c r="M71" s="117" t="str">
        <f>IF(L71="","",actual_AEB_score(I71,L71,K71))</f>
        <v/>
      </c>
      <c r="O71" s="28"/>
    </row>
    <row r="72" spans="2:15" ht="15" hidden="1" customHeight="1">
      <c r="B72" s="322"/>
      <c r="C72" s="329"/>
      <c r="D72" s="551"/>
      <c r="E72" s="552"/>
      <c r="F72" s="360"/>
      <c r="G72" s="351"/>
      <c r="H72" s="117" t="str">
        <f>IF(G72="","",actual_AEB_score(D72,G72,F72))</f>
        <v/>
      </c>
      <c r="I72" s="363"/>
      <c r="J72" s="354"/>
      <c r="K72" s="360"/>
      <c r="L72" s="351"/>
      <c r="M72" s="117" t="str">
        <f>IF(L72="","",actual_AEB_score(I72,L72,K72))</f>
        <v/>
      </c>
      <c r="O72" s="28"/>
    </row>
    <row r="73" spans="2:15" ht="15" hidden="1" customHeight="1">
      <c r="B73" s="322"/>
      <c r="C73" s="329"/>
      <c r="D73" s="551"/>
      <c r="E73" s="552"/>
      <c r="F73" s="360"/>
      <c r="G73" s="351"/>
      <c r="H73" s="117" t="str">
        <f>IF(G73="","",actual_AEB_score(D73,G73,F73))</f>
        <v/>
      </c>
      <c r="I73" s="363"/>
      <c r="J73" s="354"/>
      <c r="K73" s="360"/>
      <c r="L73" s="351"/>
      <c r="M73" s="117" t="str">
        <f>IF(L73="","",actual_AEB_score(I73,L73,K73))</f>
        <v/>
      </c>
      <c r="O73" s="28"/>
    </row>
    <row r="74" spans="2:15" ht="15" hidden="1" customHeight="1">
      <c r="B74" s="322"/>
      <c r="C74" s="329"/>
      <c r="D74" s="551"/>
      <c r="E74" s="552"/>
      <c r="F74" s="360"/>
      <c r="G74" s="351"/>
      <c r="H74" s="117" t="str">
        <f>IF(G74="","",actual_AEB_score(D74,G74,F74))</f>
        <v/>
      </c>
      <c r="I74" s="363"/>
      <c r="J74" s="354"/>
      <c r="K74" s="360"/>
      <c r="L74" s="351"/>
      <c r="M74" s="117" t="str">
        <f>IF(L74="","",actual_AEB_score(I74,L74,K74))</f>
        <v/>
      </c>
      <c r="O74" s="28"/>
    </row>
    <row r="75" spans="2:15" ht="15" hidden="1" customHeight="1">
      <c r="B75" s="322"/>
      <c r="C75" s="329"/>
      <c r="D75" s="551"/>
      <c r="E75" s="552"/>
      <c r="F75" s="360"/>
      <c r="G75" s="351"/>
      <c r="H75" s="117" t="str">
        <f>IF(G75="","",actual_AEB_score(D75,G75,F75))</f>
        <v/>
      </c>
      <c r="I75" s="363"/>
      <c r="J75" s="354"/>
      <c r="K75" s="360"/>
      <c r="L75" s="351"/>
      <c r="M75" s="117" t="str">
        <f>IF(L75="","",actual_AEB_score(I75,L75,K75))</f>
        <v/>
      </c>
      <c r="O75" s="28"/>
    </row>
    <row r="76" spans="2:15" ht="15" hidden="1" customHeight="1">
      <c r="B76" s="322"/>
      <c r="C76" s="329"/>
      <c r="D76" s="551"/>
      <c r="E76" s="552"/>
      <c r="F76" s="360"/>
      <c r="G76" s="351"/>
      <c r="H76" s="117" t="str">
        <f>IF(G76="","",actual_AEB_score(D76,G76,F76))</f>
        <v/>
      </c>
      <c r="I76" s="363"/>
      <c r="J76" s="354"/>
      <c r="K76" s="360"/>
      <c r="L76" s="351"/>
      <c r="M76" s="117" t="str">
        <f>IF(L76="","",actual_AEB_score(I76,L76,K76))</f>
        <v/>
      </c>
      <c r="O76" s="28"/>
    </row>
    <row r="77" spans="2:15" ht="15" hidden="1" customHeight="1">
      <c r="B77" s="322"/>
      <c r="C77" s="329"/>
      <c r="D77" s="551"/>
      <c r="E77" s="552"/>
      <c r="F77" s="360"/>
      <c r="G77" s="351"/>
      <c r="H77" s="117" t="str">
        <f>IF(G77="","",actual_AEB_score(D77,G77,F77))</f>
        <v/>
      </c>
      <c r="I77" s="363"/>
      <c r="J77" s="354"/>
      <c r="K77" s="360"/>
      <c r="L77" s="351"/>
      <c r="M77" s="117" t="str">
        <f>IF(L77="","",actual_AEB_score(I77,L77,K77))</f>
        <v/>
      </c>
      <c r="O77" s="28"/>
    </row>
    <row r="78" spans="2:15" ht="15" hidden="1" customHeight="1">
      <c r="B78" s="322"/>
      <c r="C78" s="329"/>
      <c r="D78" s="551"/>
      <c r="E78" s="552"/>
      <c r="F78" s="360"/>
      <c r="G78" s="351"/>
      <c r="H78" s="117" t="str">
        <f>IF(G78="","",actual_AEB_score(D78,G78,F78))</f>
        <v/>
      </c>
      <c r="I78" s="363"/>
      <c r="J78" s="354"/>
      <c r="K78" s="360"/>
      <c r="L78" s="351"/>
      <c r="M78" s="117" t="str">
        <f>IF(L78="","",actual_AEB_score(I78,L78,K78))</f>
        <v/>
      </c>
      <c r="O78" s="28"/>
    </row>
    <row r="79" spans="2:15" ht="15" hidden="1" customHeight="1">
      <c r="B79" s="322"/>
      <c r="C79" s="329"/>
      <c r="D79" s="551"/>
      <c r="E79" s="552"/>
      <c r="F79" s="360"/>
      <c r="G79" s="351"/>
      <c r="H79" s="117" t="str">
        <f>IF(G79="","",actual_AEB_score(D79,G79,F79))</f>
        <v/>
      </c>
      <c r="I79" s="363"/>
      <c r="J79" s="354"/>
      <c r="K79" s="360"/>
      <c r="L79" s="351"/>
      <c r="M79" s="117" t="str">
        <f>IF(L79="","",actual_AEB_score(I79,L79,K79))</f>
        <v/>
      </c>
      <c r="O79" s="28"/>
    </row>
    <row r="80" spans="2:15" ht="15" hidden="1" customHeight="1" thickBot="1">
      <c r="B80" s="325"/>
      <c r="C80" s="331"/>
      <c r="D80" s="567"/>
      <c r="E80" s="568"/>
      <c r="F80" s="361"/>
      <c r="G80" s="352"/>
      <c r="H80" s="332" t="str">
        <f>IF(G80="","",actual_AEB_score(D80,G80,F80))</f>
        <v/>
      </c>
      <c r="I80" s="364"/>
      <c r="J80" s="355"/>
      <c r="K80" s="361"/>
      <c r="L80" s="352"/>
      <c r="M80" s="332" t="str">
        <f>IF(L80="","",actual_AEB_score(I80,L80,K80))</f>
        <v/>
      </c>
      <c r="O80" s="28"/>
    </row>
    <row r="81" spans="1:16" ht="15" hidden="1" customHeight="1" thickBot="1">
      <c r="B81" s="569" t="s">
        <v>694</v>
      </c>
      <c r="C81" s="570"/>
      <c r="D81" s="571"/>
      <c r="E81" s="572"/>
      <c r="F81" s="333">
        <f>(COUNTIF(F61:F80,"Green")*1)+(COUNTIF(F61:F80,"Yellow")*0.75)+(COUNTIF(F61:F80,"Orange")*0.5)+(COUNTIF(F61:F80,"Brown")*0.25)</f>
        <v>0</v>
      </c>
      <c r="G81" s="333"/>
      <c r="H81" s="334">
        <f>SUM(H61:H80)</f>
        <v>0</v>
      </c>
      <c r="I81" s="571"/>
      <c r="J81" s="572"/>
      <c r="K81" s="333">
        <f>(COUNTIF(K61:K80,"Green")*1)+(COUNTIF(K61:K80,"Yellow")*0.75)+(COUNTIF(K61:K80,"Orange")*0.5)+(COUNTIF(K61:K80,"Brown")*0.25)</f>
        <v>0</v>
      </c>
      <c r="L81" s="333"/>
      <c r="M81" s="334">
        <f>SUM(M61:M80)</f>
        <v>0</v>
      </c>
      <c r="O81" s="28"/>
    </row>
    <row r="82" spans="1:16" ht="15" customHeight="1" thickBot="1">
      <c r="B82" s="21"/>
      <c r="M82" s="335"/>
      <c r="O82" s="28"/>
    </row>
    <row r="83" spans="1:16" ht="15" customHeight="1" thickBot="1">
      <c r="B83" s="573" t="s">
        <v>695</v>
      </c>
      <c r="C83" s="574"/>
      <c r="D83" s="663">
        <v>1</v>
      </c>
      <c r="E83" s="664"/>
      <c r="F83" s="664"/>
      <c r="G83" s="664"/>
      <c r="H83" s="665"/>
      <c r="I83" s="663">
        <v>1</v>
      </c>
      <c r="J83" s="664"/>
      <c r="K83" s="664"/>
      <c r="L83" s="664"/>
      <c r="M83" s="665"/>
      <c r="O83" s="28"/>
    </row>
    <row r="84" spans="1:16" ht="15" customHeight="1" thickBot="1">
      <c r="O84" s="28"/>
    </row>
    <row r="85" spans="1:16" ht="30" customHeight="1" thickBot="1">
      <c r="B85" s="633" t="s">
        <v>696</v>
      </c>
      <c r="C85" s="634"/>
      <c r="D85" s="634"/>
      <c r="E85" s="634"/>
      <c r="F85" s="634"/>
      <c r="G85" s="634"/>
      <c r="H85" s="634"/>
      <c r="I85" s="634"/>
      <c r="J85" s="634"/>
      <c r="K85" s="634"/>
      <c r="L85" s="634"/>
      <c r="M85" s="645"/>
      <c r="O85" s="28"/>
    </row>
    <row r="86" spans="1:16" ht="15" customHeight="1" thickBot="1">
      <c r="B86" s="646" t="s">
        <v>697</v>
      </c>
      <c r="C86" s="647"/>
      <c r="D86" s="648" t="s">
        <v>698</v>
      </c>
      <c r="E86" s="666"/>
      <c r="F86" s="649" t="s">
        <v>699</v>
      </c>
      <c r="G86" s="649"/>
      <c r="H86" s="650"/>
      <c r="I86" s="649"/>
      <c r="J86" s="649"/>
      <c r="K86" s="649"/>
      <c r="L86" s="649"/>
      <c r="M86" s="650"/>
      <c r="O86" s="28"/>
    </row>
    <row r="87" spans="1:16" ht="15" customHeight="1">
      <c r="B87" s="322"/>
      <c r="C87" s="323"/>
      <c r="D87" s="667"/>
      <c r="E87" s="668"/>
      <c r="F87" s="336" t="s">
        <v>700</v>
      </c>
      <c r="G87" s="336" t="s">
        <v>701</v>
      </c>
      <c r="H87" s="239" t="s">
        <v>702</v>
      </c>
      <c r="I87" s="576"/>
      <c r="J87" s="576"/>
      <c r="K87" s="576"/>
      <c r="L87" s="576"/>
      <c r="M87" s="579"/>
      <c r="O87" s="28"/>
    </row>
    <row r="88" spans="1:16" ht="15" customHeight="1">
      <c r="B88" s="322"/>
      <c r="C88" s="324"/>
      <c r="D88" s="337"/>
      <c r="E88" s="338" t="s">
        <v>703</v>
      </c>
      <c r="F88" s="241"/>
      <c r="G88" s="242"/>
      <c r="H88" s="243"/>
      <c r="I88" s="576"/>
      <c r="J88" s="576"/>
      <c r="K88" s="576"/>
      <c r="L88" s="576"/>
      <c r="M88" s="579"/>
      <c r="O88" s="28"/>
      <c r="P88" s="339"/>
    </row>
    <row r="89" spans="1:16" ht="15" customHeight="1">
      <c r="B89" s="322"/>
      <c r="C89" s="324"/>
      <c r="D89" s="337"/>
      <c r="E89" s="338" t="s">
        <v>704</v>
      </c>
      <c r="F89" s="241"/>
      <c r="G89" s="242"/>
      <c r="H89" s="243"/>
      <c r="I89" s="576"/>
      <c r="J89" s="576"/>
      <c r="K89" s="576"/>
      <c r="L89" s="576"/>
      <c r="M89" s="579"/>
      <c r="O89" s="28"/>
    </row>
    <row r="90" spans="1:16" ht="15" customHeight="1" thickBot="1">
      <c r="B90" s="322"/>
      <c r="C90" s="324"/>
      <c r="D90" s="340"/>
      <c r="E90" s="341" t="s">
        <v>705</v>
      </c>
      <c r="F90" s="244"/>
      <c r="G90" s="174"/>
      <c r="H90" s="175"/>
      <c r="I90" s="576"/>
      <c r="J90" s="576"/>
      <c r="K90" s="576"/>
      <c r="L90" s="576"/>
      <c r="M90" s="579"/>
      <c r="O90" s="28"/>
    </row>
    <row r="91" spans="1:16" s="29" customFormat="1" ht="15" customHeight="1" thickBot="1">
      <c r="A91" s="28"/>
      <c r="B91" s="481" t="s">
        <v>706</v>
      </c>
      <c r="C91" s="523"/>
      <c r="D91" s="669">
        <f>COUNTIF(F88:H90,"Green")/9</f>
        <v>0</v>
      </c>
      <c r="E91" s="670"/>
      <c r="F91" s="670"/>
      <c r="G91" s="670"/>
      <c r="H91" s="671"/>
      <c r="I91" s="651"/>
      <c r="J91" s="652"/>
      <c r="K91" s="652"/>
      <c r="L91" s="652"/>
      <c r="M91" s="653"/>
      <c r="O91" s="28"/>
    </row>
    <row r="92" spans="1:16" ht="15" customHeight="1" thickBot="1">
      <c r="B92" s="94"/>
      <c r="E92" s="94"/>
      <c r="J92" s="94"/>
      <c r="O92" s="28"/>
    </row>
    <row r="93" spans="1:16" s="29" customFormat="1" ht="15" customHeight="1">
      <c r="A93" s="28"/>
      <c r="B93" s="33" t="s">
        <v>24</v>
      </c>
      <c r="C93" s="34"/>
      <c r="D93" s="478"/>
      <c r="E93" s="479"/>
      <c r="F93" s="479"/>
      <c r="G93" s="479"/>
      <c r="H93" s="479"/>
      <c r="I93" s="479"/>
      <c r="J93" s="479"/>
      <c r="K93" s="479"/>
      <c r="L93" s="479"/>
      <c r="M93" s="480"/>
      <c r="O93" s="28"/>
    </row>
    <row r="94" spans="1:16" s="29" customFormat="1" ht="15" customHeight="1">
      <c r="A94" s="28"/>
      <c r="B94" s="31"/>
      <c r="C94" s="35" t="s">
        <v>26</v>
      </c>
      <c r="D94" s="487"/>
      <c r="E94" s="488"/>
      <c r="F94" s="488"/>
      <c r="G94" s="488"/>
      <c r="H94" s="488"/>
      <c r="I94" s="488"/>
      <c r="J94" s="488"/>
      <c r="K94" s="488"/>
      <c r="L94" s="488"/>
      <c r="M94" s="489"/>
      <c r="O94" s="28"/>
    </row>
    <row r="95" spans="1:16" s="29" customFormat="1" ht="15" customHeight="1">
      <c r="A95" s="28"/>
      <c r="B95" s="31"/>
      <c r="C95" s="32" t="s">
        <v>39</v>
      </c>
      <c r="D95" s="681" t="s">
        <v>205</v>
      </c>
      <c r="E95" s="682"/>
      <c r="F95" s="683">
        <f>IF(D95="Yes",1,0)</f>
        <v>0</v>
      </c>
      <c r="G95" s="683"/>
      <c r="H95" s="683"/>
      <c r="I95" s="683"/>
      <c r="J95" s="683"/>
      <c r="K95" s="683"/>
      <c r="L95" s="683"/>
      <c r="M95" s="684"/>
      <c r="O95" s="28"/>
    </row>
    <row r="96" spans="1:16" s="29" customFormat="1" ht="15" customHeight="1" thickBot="1">
      <c r="A96" s="28"/>
      <c r="B96" s="31"/>
      <c r="C96" s="32" t="s">
        <v>40</v>
      </c>
      <c r="D96" s="681" t="s">
        <v>205</v>
      </c>
      <c r="E96" s="682"/>
      <c r="F96" s="683">
        <f>IF(D96="Yes",1,0)</f>
        <v>0</v>
      </c>
      <c r="G96" s="683"/>
      <c r="H96" s="683"/>
      <c r="I96" s="683"/>
      <c r="J96" s="683"/>
      <c r="K96" s="683"/>
      <c r="L96" s="683"/>
      <c r="M96" s="684"/>
      <c r="O96" s="28"/>
    </row>
    <row r="97" spans="1:15" s="29" customFormat="1" ht="15" customHeight="1" thickBot="1">
      <c r="A97" s="28"/>
      <c r="B97" s="481" t="s">
        <v>27</v>
      </c>
      <c r="C97" s="482"/>
      <c r="D97" s="651">
        <f>SUM(F95:M96)/2</f>
        <v>0</v>
      </c>
      <c r="E97" s="652"/>
      <c r="F97" s="652"/>
      <c r="G97" s="652"/>
      <c r="H97" s="652"/>
      <c r="I97" s="652"/>
      <c r="J97" s="652"/>
      <c r="K97" s="652"/>
      <c r="L97" s="652"/>
      <c r="M97" s="653"/>
      <c r="O97" s="28"/>
    </row>
    <row r="98" spans="1:15" s="29" customFormat="1" ht="15" customHeight="1" thickBot="1">
      <c r="A98" s="28"/>
      <c r="B98" s="28"/>
      <c r="C98" s="30"/>
      <c r="D98" s="28"/>
      <c r="E98" s="28"/>
      <c r="F98" s="28"/>
      <c r="G98" s="342"/>
      <c r="O98" s="28"/>
    </row>
    <row r="99" spans="1:15" ht="14.4">
      <c r="B99" s="675" t="s">
        <v>9</v>
      </c>
      <c r="C99" s="676"/>
      <c r="D99" s="677"/>
      <c r="E99" s="678"/>
      <c r="F99" s="678"/>
      <c r="G99" s="678"/>
      <c r="H99" s="679"/>
      <c r="I99" s="678"/>
      <c r="J99" s="678"/>
      <c r="K99" s="678"/>
      <c r="L99" s="678"/>
      <c r="M99" s="680"/>
      <c r="N99" s="41"/>
      <c r="O99" s="28"/>
    </row>
    <row r="100" spans="1:15" ht="15" customHeight="1">
      <c r="B100" s="25"/>
      <c r="C100" s="343" t="s">
        <v>162</v>
      </c>
      <c r="D100" s="672">
        <f>IF(COUNTIF(D18:H20,"Green")=15,D33,0)</f>
        <v>1</v>
      </c>
      <c r="E100" s="673"/>
      <c r="F100" s="673"/>
      <c r="G100" s="673"/>
      <c r="H100" s="674"/>
      <c r="I100" s="564">
        <f>MIN(I33,1)</f>
        <v>0.76390000000000002</v>
      </c>
      <c r="J100" s="564"/>
      <c r="K100" s="564"/>
      <c r="L100" s="564"/>
      <c r="M100" s="566"/>
      <c r="N100" s="41"/>
      <c r="O100" s="28"/>
    </row>
    <row r="101" spans="1:15" ht="15" customHeight="1">
      <c r="B101" s="25"/>
      <c r="C101" s="343" t="s">
        <v>157</v>
      </c>
      <c r="D101" s="563">
        <f>MIN(D47,1)</f>
        <v>0.69440000000000002</v>
      </c>
      <c r="E101" s="564"/>
      <c r="F101" s="564"/>
      <c r="G101" s="564"/>
      <c r="H101" s="565"/>
      <c r="I101" s="564">
        <f>MIN(I47,1)</f>
        <v>0.83330000000000004</v>
      </c>
      <c r="J101" s="564"/>
      <c r="K101" s="564"/>
      <c r="L101" s="564"/>
      <c r="M101" s="566"/>
      <c r="N101" s="41"/>
      <c r="O101" s="28"/>
    </row>
    <row r="102" spans="1:15" ht="15" customHeight="1">
      <c r="B102" s="344"/>
      <c r="C102" s="343" t="s">
        <v>33</v>
      </c>
      <c r="D102" s="563">
        <f>D57</f>
        <v>1</v>
      </c>
      <c r="E102" s="564"/>
      <c r="F102" s="564"/>
      <c r="G102" s="564"/>
      <c r="H102" s="565"/>
      <c r="I102" s="564">
        <f>I57</f>
        <v>1</v>
      </c>
      <c r="J102" s="564"/>
      <c r="K102" s="564"/>
      <c r="L102" s="564"/>
      <c r="M102" s="566"/>
      <c r="N102" s="41"/>
      <c r="O102" s="28"/>
    </row>
    <row r="103" spans="1:15" ht="15" customHeight="1">
      <c r="B103" s="344"/>
      <c r="C103" s="343" t="s">
        <v>696</v>
      </c>
      <c r="D103" s="563">
        <f>D91</f>
        <v>0</v>
      </c>
      <c r="E103" s="564"/>
      <c r="F103" s="564"/>
      <c r="G103" s="564"/>
      <c r="H103" s="565"/>
      <c r="I103" s="564"/>
      <c r="J103" s="564"/>
      <c r="K103" s="564"/>
      <c r="L103" s="564"/>
      <c r="M103" s="566"/>
      <c r="N103" s="41"/>
      <c r="O103" s="28"/>
    </row>
    <row r="104" spans="1:15" ht="15" customHeight="1" thickBot="1">
      <c r="B104" s="306"/>
      <c r="C104" s="345" t="s">
        <v>24</v>
      </c>
      <c r="D104" s="558">
        <f>D97</f>
        <v>0</v>
      </c>
      <c r="E104" s="558"/>
      <c r="F104" s="558"/>
      <c r="G104" s="558"/>
      <c r="H104" s="558"/>
      <c r="I104" s="558"/>
      <c r="J104" s="558"/>
      <c r="K104" s="558"/>
      <c r="L104" s="558"/>
      <c r="M104" s="559"/>
      <c r="N104" s="41"/>
      <c r="O104" s="28"/>
    </row>
    <row r="105" spans="1:15" ht="15" customHeight="1" thickBot="1">
      <c r="N105" s="41"/>
      <c r="O105" s="28"/>
    </row>
    <row r="106" spans="1:15" s="28" customFormat="1" ht="15" customHeight="1" thickBot="1">
      <c r="B106" s="481" t="s">
        <v>12</v>
      </c>
      <c r="C106" s="482"/>
      <c r="D106" s="513"/>
      <c r="E106" s="515"/>
      <c r="F106" s="515"/>
      <c r="G106" s="515"/>
      <c r="H106" s="515"/>
      <c r="I106" s="515"/>
      <c r="J106" s="515"/>
      <c r="K106" s="515"/>
      <c r="L106" s="515"/>
      <c r="M106" s="516"/>
    </row>
    <row r="107" spans="1:15" s="29" customFormat="1" ht="15" customHeight="1">
      <c r="A107" s="28"/>
      <c r="B107" s="36"/>
      <c r="C107" s="37" t="s">
        <v>22</v>
      </c>
      <c r="D107" s="560">
        <f>ROUND(AVERAGE(D100:H102)*2,Round)</f>
        <v>1.796</v>
      </c>
      <c r="E107" s="561"/>
      <c r="F107" s="561"/>
      <c r="G107" s="561"/>
      <c r="H107" s="561"/>
      <c r="I107" s="561"/>
      <c r="J107" s="561"/>
      <c r="K107" s="561"/>
      <c r="L107" s="561"/>
      <c r="M107" s="562"/>
      <c r="O107" s="28"/>
    </row>
    <row r="108" spans="1:15" s="28" customFormat="1" ht="15" customHeight="1">
      <c r="B108" s="36"/>
      <c r="C108" s="346" t="s">
        <v>28</v>
      </c>
      <c r="D108" s="560">
        <f>ROUND(AVERAGE(I100:M102)*1.5,Round)</f>
        <v>1.2989999999999999</v>
      </c>
      <c r="E108" s="561"/>
      <c r="F108" s="561"/>
      <c r="G108" s="561"/>
      <c r="H108" s="561"/>
      <c r="I108" s="561"/>
      <c r="J108" s="561"/>
      <c r="K108" s="561"/>
      <c r="L108" s="561"/>
      <c r="M108" s="562"/>
    </row>
    <row r="109" spans="1:15" s="28" customFormat="1" ht="15" customHeight="1">
      <c r="B109" s="36"/>
      <c r="C109" s="346" t="s">
        <v>696</v>
      </c>
      <c r="D109" s="560">
        <f>ROUND(D103*2,Round)</f>
        <v>0</v>
      </c>
      <c r="E109" s="561"/>
      <c r="F109" s="561"/>
      <c r="G109" s="561"/>
      <c r="H109" s="561"/>
      <c r="I109" s="561"/>
      <c r="J109" s="561"/>
      <c r="K109" s="561"/>
      <c r="L109" s="561"/>
      <c r="M109" s="562"/>
    </row>
    <row r="110" spans="1:15" s="28" customFormat="1" ht="15" customHeight="1" thickBot="1">
      <c r="B110" s="38"/>
      <c r="C110" s="347" t="s">
        <v>24</v>
      </c>
      <c r="D110" s="531">
        <f>D104*0.5</f>
        <v>0</v>
      </c>
      <c r="E110" s="532"/>
      <c r="F110" s="532"/>
      <c r="G110" s="532"/>
      <c r="H110" s="532"/>
      <c r="I110" s="532"/>
      <c r="J110" s="532"/>
      <c r="K110" s="532"/>
      <c r="L110" s="532"/>
      <c r="M110" s="533"/>
    </row>
    <row r="111" spans="1:15" ht="15" customHeight="1" thickBot="1"/>
    <row r="112" spans="1:15" ht="21.6" thickBot="1">
      <c r="B112" s="553" t="s">
        <v>165</v>
      </c>
      <c r="C112" s="554"/>
      <c r="D112" s="555">
        <f>IF(D15="PASS",SUM(D107:M110),0)</f>
        <v>3.0949999999999998</v>
      </c>
      <c r="E112" s="556"/>
      <c r="F112" s="556"/>
      <c r="G112" s="556"/>
      <c r="H112" s="556"/>
      <c r="I112" s="556"/>
      <c r="J112" s="556"/>
      <c r="K112" s="556"/>
      <c r="L112" s="556"/>
      <c r="M112" s="557"/>
      <c r="N112" s="348"/>
      <c r="O112" s="24"/>
    </row>
  </sheetData>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1079" priority="3108" operator="equal">
      <formula>"Green"</formula>
    </cfRule>
    <cfRule type="cellIs" dxfId="1078" priority="3109" operator="equal">
      <formula>"Yellow"</formula>
    </cfRule>
    <cfRule type="cellIs" dxfId="1077" priority="3110" operator="equal">
      <formula>"Orange"</formula>
    </cfRule>
    <cfRule type="cellIs" dxfId="1076" priority="3111" operator="equal">
      <formula>"Brown"</formula>
    </cfRule>
    <cfRule type="cellIs" dxfId="1075" priority="3112" operator="equal">
      <formula>"Red"</formula>
    </cfRule>
  </conditionalFormatting>
  <conditionalFormatting sqref="D51">
    <cfRule type="cellIs" dxfId="1074" priority="3103" operator="equal">
      <formula>"Green"</formula>
    </cfRule>
    <cfRule type="cellIs" dxfId="1073" priority="3104" operator="equal">
      <formula>"Yellow"</formula>
    </cfRule>
    <cfRule type="cellIs" dxfId="1072" priority="3105" operator="equal">
      <formula>"Orange"</formula>
    </cfRule>
    <cfRule type="cellIs" dxfId="1071" priority="3106" operator="equal">
      <formula>"Brown"</formula>
    </cfRule>
    <cfRule type="cellIs" dxfId="1070" priority="3107" operator="equal">
      <formula>"Red"</formula>
    </cfRule>
  </conditionalFormatting>
  <conditionalFormatting sqref="K51">
    <cfRule type="cellIs" dxfId="1069" priority="3078" operator="equal">
      <formula>"Green"</formula>
    </cfRule>
    <cfRule type="cellIs" dxfId="1068" priority="3079" operator="equal">
      <formula>"Yellow"</formula>
    </cfRule>
    <cfRule type="cellIs" dxfId="1067" priority="3080" operator="equal">
      <formula>"Orange"</formula>
    </cfRule>
    <cfRule type="cellIs" dxfId="1066" priority="3081" operator="equal">
      <formula>"Brown"</formula>
    </cfRule>
    <cfRule type="cellIs" dxfId="1065" priority="3082" operator="equal">
      <formula>"Red"</formula>
    </cfRule>
  </conditionalFormatting>
  <conditionalFormatting sqref="I51">
    <cfRule type="cellIs" dxfId="1064" priority="3073" operator="equal">
      <formula>"Green"</formula>
    </cfRule>
    <cfRule type="cellIs" dxfId="1063" priority="3074" operator="equal">
      <formula>"Yellow"</formula>
    </cfRule>
    <cfRule type="cellIs" dxfId="1062" priority="3075" operator="equal">
      <formula>"Orange"</formula>
    </cfRule>
    <cfRule type="cellIs" dxfId="1061" priority="3076" operator="equal">
      <formula>"Brown"</formula>
    </cfRule>
    <cfRule type="cellIs" dxfId="1060" priority="3077" operator="equal">
      <formula>"Red"</formula>
    </cfRule>
  </conditionalFormatting>
  <conditionalFormatting sqref="F52">
    <cfRule type="cellIs" dxfId="1059" priority="1929" operator="equal">
      <formula>"Green"</formula>
    </cfRule>
    <cfRule type="cellIs" dxfId="1058" priority="1930" operator="equal">
      <formula>"Yellow"</formula>
    </cfRule>
    <cfRule type="cellIs" dxfId="1057" priority="1931" operator="equal">
      <formula>"Orange"</formula>
    </cfRule>
    <cfRule type="cellIs" dxfId="1056" priority="1932" operator="equal">
      <formula>"Brown"</formula>
    </cfRule>
    <cfRule type="cellIs" dxfId="1055" priority="1933" operator="equal">
      <formula>"Red"</formula>
    </cfRule>
  </conditionalFormatting>
  <conditionalFormatting sqref="F55">
    <cfRule type="cellIs" dxfId="1054" priority="1924" operator="equal">
      <formula>"Green"</formula>
    </cfRule>
    <cfRule type="cellIs" dxfId="1053" priority="1925" operator="equal">
      <formula>"Yellow"</formula>
    </cfRule>
    <cfRule type="cellIs" dxfId="1052" priority="1926" operator="equal">
      <formula>"Orange"</formula>
    </cfRule>
    <cfRule type="cellIs" dxfId="1051" priority="1927" operator="equal">
      <formula>"Brown"</formula>
    </cfRule>
    <cfRule type="cellIs" dxfId="1050" priority="1928" operator="equal">
      <formula>"Red"</formula>
    </cfRule>
  </conditionalFormatting>
  <conditionalFormatting sqref="F56">
    <cfRule type="cellIs" dxfId="1049" priority="1919" operator="equal">
      <formula>"Green"</formula>
    </cfRule>
    <cfRule type="cellIs" dxfId="1048" priority="1920" operator="equal">
      <formula>"Yellow"</formula>
    </cfRule>
    <cfRule type="cellIs" dxfId="1047" priority="1921" operator="equal">
      <formula>"Orange"</formula>
    </cfRule>
    <cfRule type="cellIs" dxfId="1046" priority="1922" operator="equal">
      <formula>"Brown"</formula>
    </cfRule>
    <cfRule type="cellIs" dxfId="1045" priority="1923" operator="equal">
      <formula>"Red"</formula>
    </cfRule>
  </conditionalFormatting>
  <conditionalFormatting sqref="D54">
    <cfRule type="cellIs" dxfId="1044" priority="1914" operator="equal">
      <formula>"Green"</formula>
    </cfRule>
    <cfRule type="cellIs" dxfId="1043" priority="1915" operator="equal">
      <formula>"Yellow"</formula>
    </cfRule>
    <cfRule type="cellIs" dxfId="1042" priority="1916" operator="equal">
      <formula>"Orange"</formula>
    </cfRule>
    <cfRule type="cellIs" dxfId="1041" priority="1917" operator="equal">
      <formula>"Brown"</formula>
    </cfRule>
    <cfRule type="cellIs" dxfId="1040" priority="1918" operator="equal">
      <formula>"Red"</formula>
    </cfRule>
  </conditionalFormatting>
  <conditionalFormatting sqref="K53">
    <cfRule type="cellIs" dxfId="1039" priority="1894" operator="equal">
      <formula>"Green"</formula>
    </cfRule>
    <cfRule type="cellIs" dxfId="1038" priority="1895" operator="equal">
      <formula>"Yellow"</formula>
    </cfRule>
    <cfRule type="cellIs" dxfId="1037" priority="1896" operator="equal">
      <formula>"Orange"</formula>
    </cfRule>
    <cfRule type="cellIs" dxfId="1036" priority="1897" operator="equal">
      <formula>"Brown"</formula>
    </cfRule>
    <cfRule type="cellIs" dxfId="1035" priority="1898" operator="equal">
      <formula>"Red"</formula>
    </cfRule>
  </conditionalFormatting>
  <conditionalFormatting sqref="I54">
    <cfRule type="cellIs" dxfId="1034" priority="1889" operator="equal">
      <formula>"Green"</formula>
    </cfRule>
    <cfRule type="cellIs" dxfId="1033" priority="1890" operator="equal">
      <formula>"Yellow"</formula>
    </cfRule>
    <cfRule type="cellIs" dxfId="1032" priority="1891" operator="equal">
      <formula>"Orange"</formula>
    </cfRule>
    <cfRule type="cellIs" dxfId="1031" priority="1892" operator="equal">
      <formula>"Brown"</formula>
    </cfRule>
    <cfRule type="cellIs" dxfId="1030" priority="1893" operator="equal">
      <formula>"Red"</formula>
    </cfRule>
  </conditionalFormatting>
  <conditionalFormatting sqref="K52">
    <cfRule type="cellIs" dxfId="1029" priority="1909" operator="equal">
      <formula>"Green"</formula>
    </cfRule>
    <cfRule type="cellIs" dxfId="1028" priority="1910" operator="equal">
      <formula>"Yellow"</formula>
    </cfRule>
    <cfRule type="cellIs" dxfId="1027" priority="1911" operator="equal">
      <formula>"Orange"</formula>
    </cfRule>
    <cfRule type="cellIs" dxfId="1026" priority="1912" operator="equal">
      <formula>"Brown"</formula>
    </cfRule>
    <cfRule type="cellIs" dxfId="1025" priority="1913" operator="equal">
      <formula>"Red"</formula>
    </cfRule>
  </conditionalFormatting>
  <conditionalFormatting sqref="K55">
    <cfRule type="cellIs" dxfId="1024" priority="1904" operator="equal">
      <formula>"Green"</formula>
    </cfRule>
    <cfRule type="cellIs" dxfId="1023" priority="1905" operator="equal">
      <formula>"Yellow"</formula>
    </cfRule>
    <cfRule type="cellIs" dxfId="1022" priority="1906" operator="equal">
      <formula>"Orange"</formula>
    </cfRule>
    <cfRule type="cellIs" dxfId="1021" priority="1907" operator="equal">
      <formula>"Brown"</formula>
    </cfRule>
    <cfRule type="cellIs" dxfId="1020" priority="1908" operator="equal">
      <formula>"Red"</formula>
    </cfRule>
  </conditionalFormatting>
  <conditionalFormatting sqref="K56">
    <cfRule type="cellIs" dxfId="1019" priority="1899" operator="equal">
      <formula>"Green"</formula>
    </cfRule>
    <cfRule type="cellIs" dxfId="1018" priority="1900" operator="equal">
      <formula>"Yellow"</formula>
    </cfRule>
    <cfRule type="cellIs" dxfId="1017" priority="1901" operator="equal">
      <formula>"Orange"</formula>
    </cfRule>
    <cfRule type="cellIs" dxfId="1016" priority="1902" operator="equal">
      <formula>"Brown"</formula>
    </cfRule>
    <cfRule type="cellIs" dxfId="1015" priority="1903" operator="equal">
      <formula>"Red"</formula>
    </cfRule>
  </conditionalFormatting>
  <conditionalFormatting sqref="D52:E53">
    <cfRule type="cellIs" dxfId="1014" priority="1883" operator="equal">
      <formula>"AEB"</formula>
    </cfRule>
    <cfRule type="cellIs" dxfId="1013" priority="1884" operator="equal">
      <formula>"Green"</formula>
    </cfRule>
    <cfRule type="cellIs" dxfId="1012" priority="1885" operator="equal">
      <formula>"Yellow"</formula>
    </cfRule>
    <cfRule type="cellIs" dxfId="1011" priority="1886" operator="equal">
      <formula>"Orange"</formula>
    </cfRule>
    <cfRule type="cellIs" dxfId="1010" priority="1887" operator="equal">
      <formula>"Brown"</formula>
    </cfRule>
    <cfRule type="cellIs" dxfId="1009" priority="1888" operator="equal">
      <formula>"Red"</formula>
    </cfRule>
  </conditionalFormatting>
  <conditionalFormatting sqref="I53:J53">
    <cfRule type="cellIs" dxfId="1008" priority="1877" operator="equal">
      <formula>"AEB"</formula>
    </cfRule>
    <cfRule type="cellIs" dxfId="1007" priority="1878" operator="equal">
      <formula>"Green"</formula>
    </cfRule>
    <cfRule type="cellIs" dxfId="1006" priority="1879" operator="equal">
      <formula>"Yellow"</formula>
    </cfRule>
    <cfRule type="cellIs" dxfId="1005" priority="1880" operator="equal">
      <formula>"Orange"</formula>
    </cfRule>
    <cfRule type="cellIs" dxfId="1004" priority="1881" operator="equal">
      <formula>"Brown"</formula>
    </cfRule>
    <cfRule type="cellIs" dxfId="1003" priority="1882" operator="equal">
      <formula>"Red"</formula>
    </cfRule>
  </conditionalFormatting>
  <conditionalFormatting sqref="D55:E56">
    <cfRule type="cellIs" dxfId="1002" priority="1871" operator="equal">
      <formula>"AEB"</formula>
    </cfRule>
    <cfRule type="cellIs" dxfId="1001" priority="1872" operator="equal">
      <formula>"Green"</formula>
    </cfRule>
    <cfRule type="cellIs" dxfId="1000" priority="1873" operator="equal">
      <formula>"Yellow"</formula>
    </cfRule>
    <cfRule type="cellIs" dxfId="999" priority="1874" operator="equal">
      <formula>"Orange"</formula>
    </cfRule>
    <cfRule type="cellIs" dxfId="998" priority="1875" operator="equal">
      <formula>"Brown"</formula>
    </cfRule>
    <cfRule type="cellIs" dxfId="997" priority="1876" operator="equal">
      <formula>"Red"</formula>
    </cfRule>
  </conditionalFormatting>
  <conditionalFormatting sqref="I55:J56">
    <cfRule type="cellIs" dxfId="996" priority="1865" operator="equal">
      <formula>"AEB"</formula>
    </cfRule>
    <cfRule type="cellIs" dxfId="995" priority="1866" operator="equal">
      <formula>"Green"</formula>
    </cfRule>
    <cfRule type="cellIs" dxfId="994" priority="1867" operator="equal">
      <formula>"Yellow"</formula>
    </cfRule>
    <cfRule type="cellIs" dxfId="993" priority="1868" operator="equal">
      <formula>"Orange"</formula>
    </cfRule>
    <cfRule type="cellIs" dxfId="992" priority="1869" operator="equal">
      <formula>"Brown"</formula>
    </cfRule>
    <cfRule type="cellIs" dxfId="991" priority="1870" operator="equal">
      <formula>"Red"</formula>
    </cfRule>
  </conditionalFormatting>
  <conditionalFormatting sqref="F53">
    <cfRule type="cellIs" dxfId="990" priority="1860" operator="equal">
      <formula>"Green"</formula>
    </cfRule>
    <cfRule type="cellIs" dxfId="989" priority="1861" operator="equal">
      <formula>"Yellow"</formula>
    </cfRule>
    <cfRule type="cellIs" dxfId="988" priority="1862" operator="equal">
      <formula>"Orange"</formula>
    </cfRule>
    <cfRule type="cellIs" dxfId="987" priority="1863" operator="equal">
      <formula>"Brown"</formula>
    </cfRule>
    <cfRule type="cellIs" dxfId="986" priority="1864" operator="equal">
      <formula>"Red"</formula>
    </cfRule>
  </conditionalFormatting>
  <conditionalFormatting sqref="D24:H26">
    <cfRule type="cellIs" dxfId="985" priority="1849" operator="equal">
      <formula>"Green"</formula>
    </cfRule>
    <cfRule type="cellIs" dxfId="984" priority="1850" operator="equal">
      <formula>"Yellow"</formula>
    </cfRule>
    <cfRule type="cellIs" dxfId="983" priority="1851" operator="equal">
      <formula>"Orange"</formula>
    </cfRule>
    <cfRule type="cellIs" dxfId="982" priority="1852" operator="equal">
      <formula>"Brown"</formula>
    </cfRule>
    <cfRule type="cellIs" dxfId="981" priority="1853" operator="equal">
      <formula>"Red"</formula>
    </cfRule>
    <cfRule type="cellIs" dxfId="980" priority="1854" operator="equal">
      <formula>"D Red"</formula>
    </cfRule>
  </conditionalFormatting>
  <conditionalFormatting sqref="D24:H26">
    <cfRule type="cellIs" dxfId="979" priority="1848" operator="equal">
      <formula>"""AEB"""</formula>
    </cfRule>
    <cfRule type="cellIs" dxfId="978" priority="1855" operator="equal">
      <formula>"Green"</formula>
    </cfRule>
    <cfRule type="cellIs" dxfId="977" priority="1856" operator="equal">
      <formula>"Yellow"</formula>
    </cfRule>
    <cfRule type="cellIs" dxfId="976" priority="1857" operator="equal">
      <formula>"Orange"</formula>
    </cfRule>
    <cfRule type="cellIs" dxfId="975" priority="1858" operator="equal">
      <formula>"Brown"</formula>
    </cfRule>
    <cfRule type="cellIs" dxfId="974" priority="1859" operator="equal">
      <formula>"Red"</formula>
    </cfRule>
  </conditionalFormatting>
  <conditionalFormatting sqref="F24:F26">
    <cfRule type="cellIs" dxfId="973" priority="1842" operator="equal">
      <formula>"""AEB"""</formula>
    </cfRule>
    <cfRule type="cellIs" dxfId="972" priority="1843" operator="equal">
      <formula>"Green"</formula>
    </cfRule>
    <cfRule type="cellIs" dxfId="971" priority="1844" operator="equal">
      <formula>"Yellow"</formula>
    </cfRule>
    <cfRule type="cellIs" dxfId="970" priority="1845" operator="equal">
      <formula>"Orange"</formula>
    </cfRule>
    <cfRule type="cellIs" dxfId="969" priority="1846" operator="equal">
      <formula>"Brown"</formula>
    </cfRule>
    <cfRule type="cellIs" dxfId="968" priority="1847" operator="equal">
      <formula>"Red"</formula>
    </cfRule>
  </conditionalFormatting>
  <conditionalFormatting sqref="E21:G21 D19:H20 D18:E18 G18:H18">
    <cfRule type="cellIs" dxfId="967" priority="1836" operator="equal">
      <formula>"Green"</formula>
    </cfRule>
    <cfRule type="cellIs" dxfId="966" priority="1837" operator="equal">
      <formula>"Yellow"</formula>
    </cfRule>
    <cfRule type="cellIs" dxfId="965" priority="1838" operator="equal">
      <formula>"Orange"</formula>
    </cfRule>
    <cfRule type="cellIs" dxfId="964" priority="1839" operator="equal">
      <formula>"Brown"</formula>
    </cfRule>
    <cfRule type="cellIs" dxfId="963" priority="1840" operator="equal">
      <formula>"Red"</formula>
    </cfRule>
    <cfRule type="cellIs" dxfId="962" priority="1841" operator="equal">
      <formula>"D Red"</formula>
    </cfRule>
  </conditionalFormatting>
  <conditionalFormatting sqref="D21:H21">
    <cfRule type="cellIs" dxfId="961" priority="1830" operator="equal">
      <formula>"Green"</formula>
    </cfRule>
    <cfRule type="cellIs" dxfId="960" priority="1831" operator="equal">
      <formula>"Yellow"</formula>
    </cfRule>
    <cfRule type="cellIs" dxfId="959" priority="1832" operator="equal">
      <formula>"Orange"</formula>
    </cfRule>
    <cfRule type="cellIs" dxfId="958" priority="1833" operator="equal">
      <formula>"Brown"</formula>
    </cfRule>
    <cfRule type="cellIs" dxfId="957" priority="1834" operator="equal">
      <formula>"Red"</formula>
    </cfRule>
    <cfRule type="cellIs" dxfId="956" priority="1835" operator="equal">
      <formula>"D Red"</formula>
    </cfRule>
  </conditionalFormatting>
  <conditionalFormatting sqref="D22:H23">
    <cfRule type="cellIs" dxfId="955" priority="1824" operator="equal">
      <formula>"Green"</formula>
    </cfRule>
    <cfRule type="cellIs" dxfId="954" priority="1825" operator="equal">
      <formula>"Yellow"</formula>
    </cfRule>
    <cfRule type="cellIs" dxfId="953" priority="1826" operator="equal">
      <formula>"Orange"</formula>
    </cfRule>
    <cfRule type="cellIs" dxfId="952" priority="1827" operator="equal">
      <formula>"Brown"</formula>
    </cfRule>
    <cfRule type="cellIs" dxfId="951" priority="1828" operator="equal">
      <formula>"Red"</formula>
    </cfRule>
    <cfRule type="cellIs" dxfId="950" priority="1829" operator="equal">
      <formula>"D Red"</formula>
    </cfRule>
  </conditionalFormatting>
  <conditionalFormatting sqref="F22:F23">
    <cfRule type="cellIs" dxfId="949" priority="1818" operator="equal">
      <formula>"Green"</formula>
    </cfRule>
    <cfRule type="cellIs" dxfId="948" priority="1819" operator="equal">
      <formula>"Yellow"</formula>
    </cfRule>
    <cfRule type="cellIs" dxfId="947" priority="1820" operator="equal">
      <formula>"Orange"</formula>
    </cfRule>
    <cfRule type="cellIs" dxfId="946" priority="1821" operator="equal">
      <formula>"Brown"</formula>
    </cfRule>
    <cfRule type="cellIs" dxfId="945" priority="1822" operator="equal">
      <formula>"Red"</formula>
    </cfRule>
    <cfRule type="cellIs" dxfId="944" priority="1823" operator="equal">
      <formula>"D Red"</formula>
    </cfRule>
  </conditionalFormatting>
  <conditionalFormatting sqref="F24:F25">
    <cfRule type="cellIs" dxfId="943" priority="1812" operator="equal">
      <formula>"Green"</formula>
    </cfRule>
    <cfRule type="cellIs" dxfId="942" priority="1813" operator="equal">
      <formula>"Yellow"</formula>
    </cfRule>
    <cfRule type="cellIs" dxfId="941" priority="1814" operator="equal">
      <formula>"Orange"</formula>
    </cfRule>
    <cfRule type="cellIs" dxfId="940" priority="1815" operator="equal">
      <formula>"Brown"</formula>
    </cfRule>
    <cfRule type="cellIs" dxfId="939" priority="1816" operator="equal">
      <formula>"Red"</formula>
    </cfRule>
    <cfRule type="cellIs" dxfId="938" priority="1817" operator="equal">
      <formula>"D Red"</formula>
    </cfRule>
  </conditionalFormatting>
  <conditionalFormatting sqref="F24:F25">
    <cfRule type="cellIs" dxfId="937" priority="1806" operator="equal">
      <formula>"Green"</formula>
    </cfRule>
    <cfRule type="cellIs" dxfId="936" priority="1807" operator="equal">
      <formula>"Yellow"</formula>
    </cfRule>
    <cfRule type="cellIs" dxfId="935" priority="1808" operator="equal">
      <formula>"Orange"</formula>
    </cfRule>
    <cfRule type="cellIs" dxfId="934" priority="1809" operator="equal">
      <formula>"Brown"</formula>
    </cfRule>
    <cfRule type="cellIs" dxfId="933" priority="1810" operator="equal">
      <formula>"Red"</formula>
    </cfRule>
    <cfRule type="cellIs" dxfId="932" priority="1811" operator="equal">
      <formula>"D Red"</formula>
    </cfRule>
  </conditionalFormatting>
  <conditionalFormatting sqref="F26">
    <cfRule type="cellIs" dxfId="931" priority="1800" operator="equal">
      <formula>"Green"</formula>
    </cfRule>
    <cfRule type="cellIs" dxfId="930" priority="1801" operator="equal">
      <formula>"Yellow"</formula>
    </cfRule>
    <cfRule type="cellIs" dxfId="929" priority="1802" operator="equal">
      <formula>"Orange"</formula>
    </cfRule>
    <cfRule type="cellIs" dxfId="928" priority="1803" operator="equal">
      <formula>"Brown"</formula>
    </cfRule>
    <cfRule type="cellIs" dxfId="927" priority="1804" operator="equal">
      <formula>"Red"</formula>
    </cfRule>
    <cfRule type="cellIs" dxfId="926" priority="1805" operator="equal">
      <formula>"D Red"</formula>
    </cfRule>
  </conditionalFormatting>
  <conditionalFormatting sqref="F26">
    <cfRule type="cellIs" dxfId="925" priority="1794" operator="equal">
      <formula>"Green"</formula>
    </cfRule>
    <cfRule type="cellIs" dxfId="924" priority="1795" operator="equal">
      <formula>"Yellow"</formula>
    </cfRule>
    <cfRule type="cellIs" dxfId="923" priority="1796" operator="equal">
      <formula>"Orange"</formula>
    </cfRule>
    <cfRule type="cellIs" dxfId="922" priority="1797" operator="equal">
      <formula>"Brown"</formula>
    </cfRule>
    <cfRule type="cellIs" dxfId="921" priority="1798" operator="equal">
      <formula>"Red"</formula>
    </cfRule>
    <cfRule type="cellIs" dxfId="920" priority="1799" operator="equal">
      <formula>"D Red"</formula>
    </cfRule>
  </conditionalFormatting>
  <conditionalFormatting sqref="G24:G26">
    <cfRule type="cellIs" dxfId="919" priority="1788" operator="equal">
      <formula>"""AEB"""</formula>
    </cfRule>
    <cfRule type="cellIs" dxfId="918" priority="1789" operator="equal">
      <formula>"Green"</formula>
    </cfRule>
    <cfRule type="cellIs" dxfId="917" priority="1790" operator="equal">
      <formula>"Yellow"</formula>
    </cfRule>
    <cfRule type="cellIs" dxfId="916" priority="1791" operator="equal">
      <formula>"Orange"</formula>
    </cfRule>
    <cfRule type="cellIs" dxfId="915" priority="1792" operator="equal">
      <formula>"Brown"</formula>
    </cfRule>
    <cfRule type="cellIs" dxfId="914" priority="1793" operator="equal">
      <formula>"Red"</formula>
    </cfRule>
  </conditionalFormatting>
  <conditionalFormatting sqref="G22:G23">
    <cfRule type="cellIs" dxfId="913" priority="1782" operator="equal">
      <formula>"Green"</formula>
    </cfRule>
    <cfRule type="cellIs" dxfId="912" priority="1783" operator="equal">
      <formula>"Yellow"</formula>
    </cfRule>
    <cfRule type="cellIs" dxfId="911" priority="1784" operator="equal">
      <formula>"Orange"</formula>
    </cfRule>
    <cfRule type="cellIs" dxfId="910" priority="1785" operator="equal">
      <formula>"Brown"</formula>
    </cfRule>
    <cfRule type="cellIs" dxfId="909" priority="1786" operator="equal">
      <formula>"Red"</formula>
    </cfRule>
    <cfRule type="cellIs" dxfId="908" priority="1787" operator="equal">
      <formula>"D Red"</formula>
    </cfRule>
  </conditionalFormatting>
  <conditionalFormatting sqref="G24:G25">
    <cfRule type="cellIs" dxfId="907" priority="1776" operator="equal">
      <formula>"Green"</formula>
    </cfRule>
    <cfRule type="cellIs" dxfId="906" priority="1777" operator="equal">
      <formula>"Yellow"</formula>
    </cfRule>
    <cfRule type="cellIs" dxfId="905" priority="1778" operator="equal">
      <formula>"Orange"</formula>
    </cfRule>
    <cfRule type="cellIs" dxfId="904" priority="1779" operator="equal">
      <formula>"Brown"</formula>
    </cfRule>
    <cfRule type="cellIs" dxfId="903" priority="1780" operator="equal">
      <formula>"Red"</formula>
    </cfRule>
    <cfRule type="cellIs" dxfId="902" priority="1781" operator="equal">
      <formula>"D Red"</formula>
    </cfRule>
  </conditionalFormatting>
  <conditionalFormatting sqref="G24:G25">
    <cfRule type="cellIs" dxfId="901" priority="1770" operator="equal">
      <formula>"Green"</formula>
    </cfRule>
    <cfRule type="cellIs" dxfId="900" priority="1771" operator="equal">
      <formula>"Yellow"</formula>
    </cfRule>
    <cfRule type="cellIs" dxfId="899" priority="1772" operator="equal">
      <formula>"Orange"</formula>
    </cfRule>
    <cfRule type="cellIs" dxfId="898" priority="1773" operator="equal">
      <formula>"Brown"</formula>
    </cfRule>
    <cfRule type="cellIs" dxfId="897" priority="1774" operator="equal">
      <formula>"Red"</formula>
    </cfRule>
    <cfRule type="cellIs" dxfId="896" priority="1775" operator="equal">
      <formula>"D Red"</formula>
    </cfRule>
  </conditionalFormatting>
  <conditionalFormatting sqref="G26">
    <cfRule type="cellIs" dxfId="895" priority="1764" operator="equal">
      <formula>"Green"</formula>
    </cfRule>
    <cfRule type="cellIs" dxfId="894" priority="1765" operator="equal">
      <formula>"Yellow"</formula>
    </cfRule>
    <cfRule type="cellIs" dxfId="893" priority="1766" operator="equal">
      <formula>"Orange"</formula>
    </cfRule>
    <cfRule type="cellIs" dxfId="892" priority="1767" operator="equal">
      <formula>"Brown"</formula>
    </cfRule>
    <cfRule type="cellIs" dxfId="891" priority="1768" operator="equal">
      <formula>"Red"</formula>
    </cfRule>
    <cfRule type="cellIs" dxfId="890" priority="1769" operator="equal">
      <formula>"D Red"</formula>
    </cfRule>
  </conditionalFormatting>
  <conditionalFormatting sqref="G26">
    <cfRule type="cellIs" dxfId="889" priority="1758" operator="equal">
      <formula>"Green"</formula>
    </cfRule>
    <cfRule type="cellIs" dxfId="888" priority="1759" operator="equal">
      <formula>"Yellow"</formula>
    </cfRule>
    <cfRule type="cellIs" dxfId="887" priority="1760" operator="equal">
      <formula>"Orange"</formula>
    </cfRule>
    <cfRule type="cellIs" dxfId="886" priority="1761" operator="equal">
      <formula>"Brown"</formula>
    </cfRule>
    <cfRule type="cellIs" dxfId="885" priority="1762" operator="equal">
      <formula>"Red"</formula>
    </cfRule>
    <cfRule type="cellIs" dxfId="884" priority="1763" operator="equal">
      <formula>"D Red"</formula>
    </cfRule>
  </conditionalFormatting>
  <conditionalFormatting sqref="E24:E26">
    <cfRule type="cellIs" dxfId="883" priority="1752" operator="equal">
      <formula>"""AEB"""</formula>
    </cfRule>
    <cfRule type="cellIs" dxfId="882" priority="1753" operator="equal">
      <formula>"Green"</formula>
    </cfRule>
    <cfRule type="cellIs" dxfId="881" priority="1754" operator="equal">
      <formula>"Yellow"</formula>
    </cfRule>
    <cfRule type="cellIs" dxfId="880" priority="1755" operator="equal">
      <formula>"Orange"</formula>
    </cfRule>
    <cfRule type="cellIs" dxfId="879" priority="1756" operator="equal">
      <formula>"Brown"</formula>
    </cfRule>
    <cfRule type="cellIs" dxfId="878" priority="1757" operator="equal">
      <formula>"Red"</formula>
    </cfRule>
  </conditionalFormatting>
  <conditionalFormatting sqref="E22:E23">
    <cfRule type="cellIs" dxfId="877" priority="1746" operator="equal">
      <formula>"Green"</formula>
    </cfRule>
    <cfRule type="cellIs" dxfId="876" priority="1747" operator="equal">
      <formula>"Yellow"</formula>
    </cfRule>
    <cfRule type="cellIs" dxfId="875" priority="1748" operator="equal">
      <formula>"Orange"</formula>
    </cfRule>
    <cfRule type="cellIs" dxfId="874" priority="1749" operator="equal">
      <formula>"Brown"</formula>
    </cfRule>
    <cfRule type="cellIs" dxfId="873" priority="1750" operator="equal">
      <formula>"Red"</formula>
    </cfRule>
    <cfRule type="cellIs" dxfId="872" priority="1751" operator="equal">
      <formula>"D Red"</formula>
    </cfRule>
  </conditionalFormatting>
  <conditionalFormatting sqref="E24:E25">
    <cfRule type="cellIs" dxfId="871" priority="1740" operator="equal">
      <formula>"Green"</formula>
    </cfRule>
    <cfRule type="cellIs" dxfId="870" priority="1741" operator="equal">
      <formula>"Yellow"</formula>
    </cfRule>
    <cfRule type="cellIs" dxfId="869" priority="1742" operator="equal">
      <formula>"Orange"</formula>
    </cfRule>
    <cfRule type="cellIs" dxfId="868" priority="1743" operator="equal">
      <formula>"Brown"</formula>
    </cfRule>
    <cfRule type="cellIs" dxfId="867" priority="1744" operator="equal">
      <formula>"Red"</formula>
    </cfRule>
    <cfRule type="cellIs" dxfId="866" priority="1745" operator="equal">
      <formula>"D Red"</formula>
    </cfRule>
  </conditionalFormatting>
  <conditionalFormatting sqref="E24:E25">
    <cfRule type="cellIs" dxfId="865" priority="1734" operator="equal">
      <formula>"Green"</formula>
    </cfRule>
    <cfRule type="cellIs" dxfId="864" priority="1735" operator="equal">
      <formula>"Yellow"</formula>
    </cfRule>
    <cfRule type="cellIs" dxfId="863" priority="1736" operator="equal">
      <formula>"Orange"</formula>
    </cfRule>
    <cfRule type="cellIs" dxfId="862" priority="1737" operator="equal">
      <formula>"Brown"</formula>
    </cfRule>
    <cfRule type="cellIs" dxfId="861" priority="1738" operator="equal">
      <formula>"Red"</formula>
    </cfRule>
    <cfRule type="cellIs" dxfId="860" priority="1739" operator="equal">
      <formula>"D Red"</formula>
    </cfRule>
  </conditionalFormatting>
  <conditionalFormatting sqref="E26">
    <cfRule type="cellIs" dxfId="859" priority="1728" operator="equal">
      <formula>"Green"</formula>
    </cfRule>
    <cfRule type="cellIs" dxfId="858" priority="1729" operator="equal">
      <formula>"Yellow"</formula>
    </cfRule>
    <cfRule type="cellIs" dxfId="857" priority="1730" operator="equal">
      <formula>"Orange"</formula>
    </cfRule>
    <cfRule type="cellIs" dxfId="856" priority="1731" operator="equal">
      <formula>"Brown"</formula>
    </cfRule>
    <cfRule type="cellIs" dxfId="855" priority="1732" operator="equal">
      <formula>"Red"</formula>
    </cfRule>
    <cfRule type="cellIs" dxfId="854" priority="1733" operator="equal">
      <formula>"D Red"</formula>
    </cfRule>
  </conditionalFormatting>
  <conditionalFormatting sqref="E26">
    <cfRule type="cellIs" dxfId="853" priority="1722" operator="equal">
      <formula>"Green"</formula>
    </cfRule>
    <cfRule type="cellIs" dxfId="852" priority="1723" operator="equal">
      <formula>"Yellow"</formula>
    </cfRule>
    <cfRule type="cellIs" dxfId="851" priority="1724" operator="equal">
      <formula>"Orange"</formula>
    </cfRule>
    <cfRule type="cellIs" dxfId="850" priority="1725" operator="equal">
      <formula>"Brown"</formula>
    </cfRule>
    <cfRule type="cellIs" dxfId="849" priority="1726" operator="equal">
      <formula>"Red"</formula>
    </cfRule>
    <cfRule type="cellIs" dxfId="848" priority="1727" operator="equal">
      <formula>"D Red"</formula>
    </cfRule>
  </conditionalFormatting>
  <conditionalFormatting sqref="I52:J52">
    <cfRule type="cellIs" dxfId="847" priority="900" operator="equal">
      <formula>"AEB"</formula>
    </cfRule>
    <cfRule type="cellIs" dxfId="846" priority="901" operator="equal">
      <formula>"Green"</formula>
    </cfRule>
    <cfRule type="cellIs" dxfId="845" priority="902" operator="equal">
      <formula>"Yellow"</formula>
    </cfRule>
    <cfRule type="cellIs" dxfId="844" priority="903" operator="equal">
      <formula>"Orange"</formula>
    </cfRule>
    <cfRule type="cellIs" dxfId="843" priority="904" operator="equal">
      <formula>"Brown"</formula>
    </cfRule>
    <cfRule type="cellIs" dxfId="842" priority="905" operator="equal">
      <formula>"Red"</formula>
    </cfRule>
  </conditionalFormatting>
  <conditionalFormatting sqref="H61">
    <cfRule type="cellIs" dxfId="841" priority="895" operator="equal">
      <formula>"Green"</formula>
    </cfRule>
    <cfRule type="cellIs" dxfId="840" priority="896" operator="equal">
      <formula>"Yellow"</formula>
    </cfRule>
    <cfRule type="cellIs" dxfId="839" priority="897" operator="equal">
      <formula>"Orange"</formula>
    </cfRule>
    <cfRule type="cellIs" dxfId="838" priority="898" operator="equal">
      <formula>"Brown"</formula>
    </cfRule>
    <cfRule type="cellIs" dxfId="837" priority="899" operator="equal">
      <formula>"Red"</formula>
    </cfRule>
  </conditionalFormatting>
  <conditionalFormatting sqref="H62">
    <cfRule type="cellIs" dxfId="836" priority="890" operator="equal">
      <formula>"Green"</formula>
    </cfRule>
    <cfRule type="cellIs" dxfId="835" priority="891" operator="equal">
      <formula>"Yellow"</formula>
    </cfRule>
    <cfRule type="cellIs" dxfId="834" priority="892" operator="equal">
      <formula>"Orange"</formula>
    </cfRule>
    <cfRule type="cellIs" dxfId="833" priority="893" operator="equal">
      <formula>"Brown"</formula>
    </cfRule>
    <cfRule type="cellIs" dxfId="832" priority="894" operator="equal">
      <formula>"Red"</formula>
    </cfRule>
  </conditionalFormatting>
  <conditionalFormatting sqref="H63">
    <cfRule type="cellIs" dxfId="831" priority="885" operator="equal">
      <formula>"Green"</formula>
    </cfRule>
    <cfRule type="cellIs" dxfId="830" priority="886" operator="equal">
      <formula>"Yellow"</formula>
    </cfRule>
    <cfRule type="cellIs" dxfId="829" priority="887" operator="equal">
      <formula>"Orange"</formula>
    </cfRule>
    <cfRule type="cellIs" dxfId="828" priority="888" operator="equal">
      <formula>"Brown"</formula>
    </cfRule>
    <cfRule type="cellIs" dxfId="827" priority="889" operator="equal">
      <formula>"Red"</formula>
    </cfRule>
  </conditionalFormatting>
  <conditionalFormatting sqref="H65">
    <cfRule type="cellIs" dxfId="826" priority="880" operator="equal">
      <formula>"Green"</formula>
    </cfRule>
    <cfRule type="cellIs" dxfId="825" priority="881" operator="equal">
      <formula>"Yellow"</formula>
    </cfRule>
    <cfRule type="cellIs" dxfId="824" priority="882" operator="equal">
      <formula>"Orange"</formula>
    </cfRule>
    <cfRule type="cellIs" dxfId="823" priority="883" operator="equal">
      <formula>"Brown"</formula>
    </cfRule>
    <cfRule type="cellIs" dxfId="822" priority="884" operator="equal">
      <formula>"Red"</formula>
    </cfRule>
  </conditionalFormatting>
  <conditionalFormatting sqref="H67">
    <cfRule type="cellIs" dxfId="821" priority="875" operator="equal">
      <formula>"Green"</formula>
    </cfRule>
    <cfRule type="cellIs" dxfId="820" priority="876" operator="equal">
      <formula>"Yellow"</formula>
    </cfRule>
    <cfRule type="cellIs" dxfId="819" priority="877" operator="equal">
      <formula>"Orange"</formula>
    </cfRule>
    <cfRule type="cellIs" dxfId="818" priority="878" operator="equal">
      <formula>"Brown"</formula>
    </cfRule>
    <cfRule type="cellIs" dxfId="817" priority="879" operator="equal">
      <formula>"Red"</formula>
    </cfRule>
  </conditionalFormatting>
  <conditionalFormatting sqref="H64">
    <cfRule type="cellIs" dxfId="816" priority="870" operator="equal">
      <formula>"Green"</formula>
    </cfRule>
    <cfRule type="cellIs" dxfId="815" priority="871" operator="equal">
      <formula>"Yellow"</formula>
    </cfRule>
    <cfRule type="cellIs" dxfId="814" priority="872" operator="equal">
      <formula>"Orange"</formula>
    </cfRule>
    <cfRule type="cellIs" dxfId="813" priority="873" operator="equal">
      <formula>"Brown"</formula>
    </cfRule>
    <cfRule type="cellIs" dxfId="812" priority="874" operator="equal">
      <formula>"Red"</formula>
    </cfRule>
  </conditionalFormatting>
  <conditionalFormatting sqref="H66">
    <cfRule type="cellIs" dxfId="811" priority="865" operator="equal">
      <formula>"Green"</formula>
    </cfRule>
    <cfRule type="cellIs" dxfId="810" priority="866" operator="equal">
      <formula>"Yellow"</formula>
    </cfRule>
    <cfRule type="cellIs" dxfId="809" priority="867" operator="equal">
      <formula>"Orange"</formula>
    </cfRule>
    <cfRule type="cellIs" dxfId="808" priority="868" operator="equal">
      <formula>"Brown"</formula>
    </cfRule>
    <cfRule type="cellIs" dxfId="807" priority="869" operator="equal">
      <formula>"Red"</formula>
    </cfRule>
  </conditionalFormatting>
  <conditionalFormatting sqref="H68">
    <cfRule type="cellIs" dxfId="806" priority="860" operator="equal">
      <formula>"Green"</formula>
    </cfRule>
    <cfRule type="cellIs" dxfId="805" priority="861" operator="equal">
      <formula>"Yellow"</formula>
    </cfRule>
    <cfRule type="cellIs" dxfId="804" priority="862" operator="equal">
      <formula>"Orange"</formula>
    </cfRule>
    <cfRule type="cellIs" dxfId="803" priority="863" operator="equal">
      <formula>"Brown"</formula>
    </cfRule>
    <cfRule type="cellIs" dxfId="802" priority="864" operator="equal">
      <formula>"Red"</formula>
    </cfRule>
  </conditionalFormatting>
  <conditionalFormatting sqref="H70">
    <cfRule type="cellIs" dxfId="801" priority="855" operator="equal">
      <formula>"Green"</formula>
    </cfRule>
    <cfRule type="cellIs" dxfId="800" priority="856" operator="equal">
      <formula>"Yellow"</formula>
    </cfRule>
    <cfRule type="cellIs" dxfId="799" priority="857" operator="equal">
      <formula>"Orange"</formula>
    </cfRule>
    <cfRule type="cellIs" dxfId="798" priority="858" operator="equal">
      <formula>"Brown"</formula>
    </cfRule>
    <cfRule type="cellIs" dxfId="797" priority="859" operator="equal">
      <formula>"Red"</formula>
    </cfRule>
  </conditionalFormatting>
  <conditionalFormatting sqref="H69">
    <cfRule type="cellIs" dxfId="796" priority="850" operator="equal">
      <formula>"Green"</formula>
    </cfRule>
    <cfRule type="cellIs" dxfId="795" priority="851" operator="equal">
      <formula>"Yellow"</formula>
    </cfRule>
    <cfRule type="cellIs" dxfId="794" priority="852" operator="equal">
      <formula>"Orange"</formula>
    </cfRule>
    <cfRule type="cellIs" dxfId="793" priority="853" operator="equal">
      <formula>"Brown"</formula>
    </cfRule>
    <cfRule type="cellIs" dxfId="792" priority="854" operator="equal">
      <formula>"Red"</formula>
    </cfRule>
  </conditionalFormatting>
  <conditionalFormatting sqref="H71">
    <cfRule type="cellIs" dxfId="791" priority="845" operator="equal">
      <formula>"Green"</formula>
    </cfRule>
    <cfRule type="cellIs" dxfId="790" priority="846" operator="equal">
      <formula>"Yellow"</formula>
    </cfRule>
    <cfRule type="cellIs" dxfId="789" priority="847" operator="equal">
      <formula>"Orange"</formula>
    </cfRule>
    <cfRule type="cellIs" dxfId="788" priority="848" operator="equal">
      <formula>"Brown"</formula>
    </cfRule>
    <cfRule type="cellIs" dxfId="787" priority="849" operator="equal">
      <formula>"Red"</formula>
    </cfRule>
  </conditionalFormatting>
  <conditionalFormatting sqref="H72">
    <cfRule type="cellIs" dxfId="786" priority="840" operator="equal">
      <formula>"Green"</formula>
    </cfRule>
    <cfRule type="cellIs" dxfId="785" priority="841" operator="equal">
      <formula>"Yellow"</formula>
    </cfRule>
    <cfRule type="cellIs" dxfId="784" priority="842" operator="equal">
      <formula>"Orange"</formula>
    </cfRule>
    <cfRule type="cellIs" dxfId="783" priority="843" operator="equal">
      <formula>"Brown"</formula>
    </cfRule>
    <cfRule type="cellIs" dxfId="782" priority="844" operator="equal">
      <formula>"Red"</formula>
    </cfRule>
  </conditionalFormatting>
  <conditionalFormatting sqref="H73">
    <cfRule type="cellIs" dxfId="781" priority="835" operator="equal">
      <formula>"Green"</formula>
    </cfRule>
    <cfRule type="cellIs" dxfId="780" priority="836" operator="equal">
      <formula>"Yellow"</formula>
    </cfRule>
    <cfRule type="cellIs" dxfId="779" priority="837" operator="equal">
      <formula>"Orange"</formula>
    </cfRule>
    <cfRule type="cellIs" dxfId="778" priority="838" operator="equal">
      <formula>"Brown"</formula>
    </cfRule>
    <cfRule type="cellIs" dxfId="777" priority="839" operator="equal">
      <formula>"Red"</formula>
    </cfRule>
  </conditionalFormatting>
  <conditionalFormatting sqref="H75">
    <cfRule type="cellIs" dxfId="776" priority="830" operator="equal">
      <formula>"Green"</formula>
    </cfRule>
    <cfRule type="cellIs" dxfId="775" priority="831" operator="equal">
      <formula>"Yellow"</formula>
    </cfRule>
    <cfRule type="cellIs" dxfId="774" priority="832" operator="equal">
      <formula>"Orange"</formula>
    </cfRule>
    <cfRule type="cellIs" dxfId="773" priority="833" operator="equal">
      <formula>"Brown"</formula>
    </cfRule>
    <cfRule type="cellIs" dxfId="772" priority="834" operator="equal">
      <formula>"Red"</formula>
    </cfRule>
  </conditionalFormatting>
  <conditionalFormatting sqref="H77">
    <cfRule type="cellIs" dxfId="771" priority="825" operator="equal">
      <formula>"Green"</formula>
    </cfRule>
    <cfRule type="cellIs" dxfId="770" priority="826" operator="equal">
      <formula>"Yellow"</formula>
    </cfRule>
    <cfRule type="cellIs" dxfId="769" priority="827" operator="equal">
      <formula>"Orange"</formula>
    </cfRule>
    <cfRule type="cellIs" dxfId="768" priority="828" operator="equal">
      <formula>"Brown"</formula>
    </cfRule>
    <cfRule type="cellIs" dxfId="767" priority="829" operator="equal">
      <formula>"Red"</formula>
    </cfRule>
  </conditionalFormatting>
  <conditionalFormatting sqref="H74">
    <cfRule type="cellIs" dxfId="766" priority="820" operator="equal">
      <formula>"Green"</formula>
    </cfRule>
    <cfRule type="cellIs" dxfId="765" priority="821" operator="equal">
      <formula>"Yellow"</formula>
    </cfRule>
    <cfRule type="cellIs" dxfId="764" priority="822" operator="equal">
      <formula>"Orange"</formula>
    </cfRule>
    <cfRule type="cellIs" dxfId="763" priority="823" operator="equal">
      <formula>"Brown"</formula>
    </cfRule>
    <cfRule type="cellIs" dxfId="762" priority="824" operator="equal">
      <formula>"Red"</formula>
    </cfRule>
  </conditionalFormatting>
  <conditionalFormatting sqref="H76">
    <cfRule type="cellIs" dxfId="761" priority="815" operator="equal">
      <formula>"Green"</formula>
    </cfRule>
    <cfRule type="cellIs" dxfId="760" priority="816" operator="equal">
      <formula>"Yellow"</formula>
    </cfRule>
    <cfRule type="cellIs" dxfId="759" priority="817" operator="equal">
      <formula>"Orange"</formula>
    </cfRule>
    <cfRule type="cellIs" dxfId="758" priority="818" operator="equal">
      <formula>"Brown"</formula>
    </cfRule>
    <cfRule type="cellIs" dxfId="757" priority="819" operator="equal">
      <formula>"Red"</formula>
    </cfRule>
  </conditionalFormatting>
  <conditionalFormatting sqref="H78">
    <cfRule type="cellIs" dxfId="756" priority="810" operator="equal">
      <formula>"Green"</formula>
    </cfRule>
    <cfRule type="cellIs" dxfId="755" priority="811" operator="equal">
      <formula>"Yellow"</formula>
    </cfRule>
    <cfRule type="cellIs" dxfId="754" priority="812" operator="equal">
      <formula>"Orange"</formula>
    </cfRule>
    <cfRule type="cellIs" dxfId="753" priority="813" operator="equal">
      <formula>"Brown"</formula>
    </cfRule>
    <cfRule type="cellIs" dxfId="752" priority="814" operator="equal">
      <formula>"Red"</formula>
    </cfRule>
  </conditionalFormatting>
  <conditionalFormatting sqref="H80">
    <cfRule type="cellIs" dxfId="751" priority="805" operator="equal">
      <formula>"Green"</formula>
    </cfRule>
    <cfRule type="cellIs" dxfId="750" priority="806" operator="equal">
      <formula>"Yellow"</formula>
    </cfRule>
    <cfRule type="cellIs" dxfId="749" priority="807" operator="equal">
      <formula>"Orange"</formula>
    </cfRule>
    <cfRule type="cellIs" dxfId="748" priority="808" operator="equal">
      <formula>"Brown"</formula>
    </cfRule>
    <cfRule type="cellIs" dxfId="747" priority="809" operator="equal">
      <formula>"Red"</formula>
    </cfRule>
  </conditionalFormatting>
  <conditionalFormatting sqref="H79">
    <cfRule type="cellIs" dxfId="746" priority="800" operator="equal">
      <formula>"Green"</formula>
    </cfRule>
    <cfRule type="cellIs" dxfId="745" priority="801" operator="equal">
      <formula>"Yellow"</formula>
    </cfRule>
    <cfRule type="cellIs" dxfId="744" priority="802" operator="equal">
      <formula>"Orange"</formula>
    </cfRule>
    <cfRule type="cellIs" dxfId="743" priority="803" operator="equal">
      <formula>"Brown"</formula>
    </cfRule>
    <cfRule type="cellIs" dxfId="742" priority="804" operator="equal">
      <formula>"Red"</formula>
    </cfRule>
  </conditionalFormatting>
  <conditionalFormatting sqref="M61">
    <cfRule type="cellIs" dxfId="741" priority="795" operator="equal">
      <formula>"Green"</formula>
    </cfRule>
    <cfRule type="cellIs" dxfId="740" priority="796" operator="equal">
      <formula>"Yellow"</formula>
    </cfRule>
    <cfRule type="cellIs" dxfId="739" priority="797" operator="equal">
      <formula>"Orange"</formula>
    </cfRule>
    <cfRule type="cellIs" dxfId="738" priority="798" operator="equal">
      <formula>"Brown"</formula>
    </cfRule>
    <cfRule type="cellIs" dxfId="737" priority="799" operator="equal">
      <formula>"Red"</formula>
    </cfRule>
  </conditionalFormatting>
  <conditionalFormatting sqref="M62">
    <cfRule type="cellIs" dxfId="736" priority="790" operator="equal">
      <formula>"Green"</formula>
    </cfRule>
    <cfRule type="cellIs" dxfId="735" priority="791" operator="equal">
      <formula>"Yellow"</formula>
    </cfRule>
    <cfRule type="cellIs" dxfId="734" priority="792" operator="equal">
      <formula>"Orange"</formula>
    </cfRule>
    <cfRule type="cellIs" dxfId="733" priority="793" operator="equal">
      <formula>"Brown"</formula>
    </cfRule>
    <cfRule type="cellIs" dxfId="732" priority="794" operator="equal">
      <formula>"Red"</formula>
    </cfRule>
  </conditionalFormatting>
  <conditionalFormatting sqref="M63">
    <cfRule type="cellIs" dxfId="731" priority="785" operator="equal">
      <formula>"Green"</formula>
    </cfRule>
    <cfRule type="cellIs" dxfId="730" priority="786" operator="equal">
      <formula>"Yellow"</formula>
    </cfRule>
    <cfRule type="cellIs" dxfId="729" priority="787" operator="equal">
      <formula>"Orange"</formula>
    </cfRule>
    <cfRule type="cellIs" dxfId="728" priority="788" operator="equal">
      <formula>"Brown"</formula>
    </cfRule>
    <cfRule type="cellIs" dxfId="727" priority="789" operator="equal">
      <formula>"Red"</formula>
    </cfRule>
  </conditionalFormatting>
  <conditionalFormatting sqref="M65">
    <cfRule type="cellIs" dxfId="726" priority="780" operator="equal">
      <formula>"Green"</formula>
    </cfRule>
    <cfRule type="cellIs" dxfId="725" priority="781" operator="equal">
      <formula>"Yellow"</formula>
    </cfRule>
    <cfRule type="cellIs" dxfId="724" priority="782" operator="equal">
      <formula>"Orange"</formula>
    </cfRule>
    <cfRule type="cellIs" dxfId="723" priority="783" operator="equal">
      <formula>"Brown"</formula>
    </cfRule>
    <cfRule type="cellIs" dxfId="722" priority="784" operator="equal">
      <formula>"Red"</formula>
    </cfRule>
  </conditionalFormatting>
  <conditionalFormatting sqref="M67">
    <cfRule type="cellIs" dxfId="721" priority="775" operator="equal">
      <formula>"Green"</formula>
    </cfRule>
    <cfRule type="cellIs" dxfId="720" priority="776" operator="equal">
      <formula>"Yellow"</formula>
    </cfRule>
    <cfRule type="cellIs" dxfId="719" priority="777" operator="equal">
      <formula>"Orange"</formula>
    </cfRule>
    <cfRule type="cellIs" dxfId="718" priority="778" operator="equal">
      <formula>"Brown"</formula>
    </cfRule>
    <cfRule type="cellIs" dxfId="717" priority="779" operator="equal">
      <formula>"Red"</formula>
    </cfRule>
  </conditionalFormatting>
  <conditionalFormatting sqref="M64">
    <cfRule type="cellIs" dxfId="716" priority="770" operator="equal">
      <formula>"Green"</formula>
    </cfRule>
    <cfRule type="cellIs" dxfId="715" priority="771" operator="equal">
      <formula>"Yellow"</formula>
    </cfRule>
    <cfRule type="cellIs" dxfId="714" priority="772" operator="equal">
      <formula>"Orange"</formula>
    </cfRule>
    <cfRule type="cellIs" dxfId="713" priority="773" operator="equal">
      <formula>"Brown"</formula>
    </cfRule>
    <cfRule type="cellIs" dxfId="712" priority="774" operator="equal">
      <formula>"Red"</formula>
    </cfRule>
  </conditionalFormatting>
  <conditionalFormatting sqref="M66">
    <cfRule type="cellIs" dxfId="711" priority="765" operator="equal">
      <formula>"Green"</formula>
    </cfRule>
    <cfRule type="cellIs" dxfId="710" priority="766" operator="equal">
      <formula>"Yellow"</formula>
    </cfRule>
    <cfRule type="cellIs" dxfId="709" priority="767" operator="equal">
      <formula>"Orange"</formula>
    </cfRule>
    <cfRule type="cellIs" dxfId="708" priority="768" operator="equal">
      <formula>"Brown"</formula>
    </cfRule>
    <cfRule type="cellIs" dxfId="707" priority="769" operator="equal">
      <formula>"Red"</formula>
    </cfRule>
  </conditionalFormatting>
  <conditionalFormatting sqref="M68">
    <cfRule type="cellIs" dxfId="706" priority="760" operator="equal">
      <formula>"Green"</formula>
    </cfRule>
    <cfRule type="cellIs" dxfId="705" priority="761" operator="equal">
      <formula>"Yellow"</formula>
    </cfRule>
    <cfRule type="cellIs" dxfId="704" priority="762" operator="equal">
      <formula>"Orange"</formula>
    </cfRule>
    <cfRule type="cellIs" dxfId="703" priority="763" operator="equal">
      <formula>"Brown"</formula>
    </cfRule>
    <cfRule type="cellIs" dxfId="702" priority="764" operator="equal">
      <formula>"Red"</formula>
    </cfRule>
  </conditionalFormatting>
  <conditionalFormatting sqref="M70">
    <cfRule type="cellIs" dxfId="701" priority="755" operator="equal">
      <formula>"Green"</formula>
    </cfRule>
    <cfRule type="cellIs" dxfId="700" priority="756" operator="equal">
      <formula>"Yellow"</formula>
    </cfRule>
    <cfRule type="cellIs" dxfId="699" priority="757" operator="equal">
      <formula>"Orange"</formula>
    </cfRule>
    <cfRule type="cellIs" dxfId="698" priority="758" operator="equal">
      <formula>"Brown"</formula>
    </cfRule>
    <cfRule type="cellIs" dxfId="697" priority="759" operator="equal">
      <formula>"Red"</formula>
    </cfRule>
  </conditionalFormatting>
  <conditionalFormatting sqref="M69">
    <cfRule type="cellIs" dxfId="696" priority="750" operator="equal">
      <formula>"Green"</formula>
    </cfRule>
    <cfRule type="cellIs" dxfId="695" priority="751" operator="equal">
      <formula>"Yellow"</formula>
    </cfRule>
    <cfRule type="cellIs" dxfId="694" priority="752" operator="equal">
      <formula>"Orange"</formula>
    </cfRule>
    <cfRule type="cellIs" dxfId="693" priority="753" operator="equal">
      <formula>"Brown"</formula>
    </cfRule>
    <cfRule type="cellIs" dxfId="692" priority="754" operator="equal">
      <formula>"Red"</formula>
    </cfRule>
  </conditionalFormatting>
  <conditionalFormatting sqref="M71">
    <cfRule type="cellIs" dxfId="691" priority="745" operator="equal">
      <formula>"Green"</formula>
    </cfRule>
    <cfRule type="cellIs" dxfId="690" priority="746" operator="equal">
      <formula>"Yellow"</formula>
    </cfRule>
    <cfRule type="cellIs" dxfId="689" priority="747" operator="equal">
      <formula>"Orange"</formula>
    </cfRule>
    <cfRule type="cellIs" dxfId="688" priority="748" operator="equal">
      <formula>"Brown"</formula>
    </cfRule>
    <cfRule type="cellIs" dxfId="687" priority="749" operator="equal">
      <formula>"Red"</formula>
    </cfRule>
  </conditionalFormatting>
  <conditionalFormatting sqref="M72">
    <cfRule type="cellIs" dxfId="686" priority="740" operator="equal">
      <formula>"Green"</formula>
    </cfRule>
    <cfRule type="cellIs" dxfId="685" priority="741" operator="equal">
      <formula>"Yellow"</formula>
    </cfRule>
    <cfRule type="cellIs" dxfId="684" priority="742" operator="equal">
      <formula>"Orange"</formula>
    </cfRule>
    <cfRule type="cellIs" dxfId="683" priority="743" operator="equal">
      <formula>"Brown"</formula>
    </cfRule>
    <cfRule type="cellIs" dxfId="682" priority="744" operator="equal">
      <formula>"Red"</formula>
    </cfRule>
  </conditionalFormatting>
  <conditionalFormatting sqref="M73">
    <cfRule type="cellIs" dxfId="681" priority="735" operator="equal">
      <formula>"Green"</formula>
    </cfRule>
    <cfRule type="cellIs" dxfId="680" priority="736" operator="equal">
      <formula>"Yellow"</formula>
    </cfRule>
    <cfRule type="cellIs" dxfId="679" priority="737" operator="equal">
      <formula>"Orange"</formula>
    </cfRule>
    <cfRule type="cellIs" dxfId="678" priority="738" operator="equal">
      <formula>"Brown"</formula>
    </cfRule>
    <cfRule type="cellIs" dxfId="677" priority="739" operator="equal">
      <formula>"Red"</formula>
    </cfRule>
  </conditionalFormatting>
  <conditionalFormatting sqref="M75">
    <cfRule type="cellIs" dxfId="676" priority="730" operator="equal">
      <formula>"Green"</formula>
    </cfRule>
    <cfRule type="cellIs" dxfId="675" priority="731" operator="equal">
      <formula>"Yellow"</formula>
    </cfRule>
    <cfRule type="cellIs" dxfId="674" priority="732" operator="equal">
      <formula>"Orange"</formula>
    </cfRule>
    <cfRule type="cellIs" dxfId="673" priority="733" operator="equal">
      <formula>"Brown"</formula>
    </cfRule>
    <cfRule type="cellIs" dxfId="672" priority="734" operator="equal">
      <formula>"Red"</formula>
    </cfRule>
  </conditionalFormatting>
  <conditionalFormatting sqref="M77">
    <cfRule type="cellIs" dxfId="671" priority="725" operator="equal">
      <formula>"Green"</formula>
    </cfRule>
    <cfRule type="cellIs" dxfId="670" priority="726" operator="equal">
      <formula>"Yellow"</formula>
    </cfRule>
    <cfRule type="cellIs" dxfId="669" priority="727" operator="equal">
      <formula>"Orange"</formula>
    </cfRule>
    <cfRule type="cellIs" dxfId="668" priority="728" operator="equal">
      <formula>"Brown"</formula>
    </cfRule>
    <cfRule type="cellIs" dxfId="667" priority="729" operator="equal">
      <formula>"Red"</formula>
    </cfRule>
  </conditionalFormatting>
  <conditionalFormatting sqref="M74">
    <cfRule type="cellIs" dxfId="666" priority="720" operator="equal">
      <formula>"Green"</formula>
    </cfRule>
    <cfRule type="cellIs" dxfId="665" priority="721" operator="equal">
      <formula>"Yellow"</formula>
    </cfRule>
    <cfRule type="cellIs" dxfId="664" priority="722" operator="equal">
      <formula>"Orange"</formula>
    </cfRule>
    <cfRule type="cellIs" dxfId="663" priority="723" operator="equal">
      <formula>"Brown"</formula>
    </cfRule>
    <cfRule type="cellIs" dxfId="662" priority="724" operator="equal">
      <formula>"Red"</formula>
    </cfRule>
  </conditionalFormatting>
  <conditionalFormatting sqref="M76">
    <cfRule type="cellIs" dxfId="661" priority="715" operator="equal">
      <formula>"Green"</formula>
    </cfRule>
    <cfRule type="cellIs" dxfId="660" priority="716" operator="equal">
      <formula>"Yellow"</formula>
    </cfRule>
    <cfRule type="cellIs" dxfId="659" priority="717" operator="equal">
      <formula>"Orange"</formula>
    </cfRule>
    <cfRule type="cellIs" dxfId="658" priority="718" operator="equal">
      <formula>"Brown"</formula>
    </cfRule>
    <cfRule type="cellIs" dxfId="657" priority="719" operator="equal">
      <formula>"Red"</formula>
    </cfRule>
  </conditionalFormatting>
  <conditionalFormatting sqref="M78">
    <cfRule type="cellIs" dxfId="656" priority="710" operator="equal">
      <formula>"Green"</formula>
    </cfRule>
    <cfRule type="cellIs" dxfId="655" priority="711" operator="equal">
      <formula>"Yellow"</formula>
    </cfRule>
    <cfRule type="cellIs" dxfId="654" priority="712" operator="equal">
      <formula>"Orange"</formula>
    </cfRule>
    <cfRule type="cellIs" dxfId="653" priority="713" operator="equal">
      <formula>"Brown"</formula>
    </cfRule>
    <cfRule type="cellIs" dxfId="652" priority="714" operator="equal">
      <formula>"Red"</formula>
    </cfRule>
  </conditionalFormatting>
  <conditionalFormatting sqref="M80">
    <cfRule type="cellIs" dxfId="651" priority="705" operator="equal">
      <formula>"Green"</formula>
    </cfRule>
    <cfRule type="cellIs" dxfId="650" priority="706" operator="equal">
      <formula>"Yellow"</formula>
    </cfRule>
    <cfRule type="cellIs" dxfId="649" priority="707" operator="equal">
      <formula>"Orange"</formula>
    </cfRule>
    <cfRule type="cellIs" dxfId="648" priority="708" operator="equal">
      <formula>"Brown"</formula>
    </cfRule>
    <cfRule type="cellIs" dxfId="647" priority="709" operator="equal">
      <formula>"Red"</formula>
    </cfRule>
  </conditionalFormatting>
  <conditionalFormatting sqref="M79">
    <cfRule type="cellIs" dxfId="646" priority="700" operator="equal">
      <formula>"Green"</formula>
    </cfRule>
    <cfRule type="cellIs" dxfId="645" priority="701" operator="equal">
      <formula>"Yellow"</formula>
    </cfRule>
    <cfRule type="cellIs" dxfId="644" priority="702" operator="equal">
      <formula>"Orange"</formula>
    </cfRule>
    <cfRule type="cellIs" dxfId="643" priority="703" operator="equal">
      <formula>"Brown"</formula>
    </cfRule>
    <cfRule type="cellIs" dxfId="642" priority="704" operator="equal">
      <formula>"Red"</formula>
    </cfRule>
  </conditionalFormatting>
  <conditionalFormatting sqref="F72">
    <cfRule type="cellIs" dxfId="641" priority="690" operator="equal">
      <formula>"Green"</formula>
    </cfRule>
    <cfRule type="cellIs" dxfId="640" priority="691" operator="equal">
      <formula>"Yellow"</formula>
    </cfRule>
    <cfRule type="cellIs" dxfId="639" priority="692" operator="equal">
      <formula>"Orange"</formula>
    </cfRule>
    <cfRule type="cellIs" dxfId="638" priority="693" operator="equal">
      <formula>"Brown"</formula>
    </cfRule>
    <cfRule type="cellIs" dxfId="637" priority="694" operator="equal">
      <formula>"Red"</formula>
    </cfRule>
  </conditionalFormatting>
  <conditionalFormatting sqref="F73">
    <cfRule type="cellIs" dxfId="636" priority="685" operator="equal">
      <formula>"Green"</formula>
    </cfRule>
    <cfRule type="cellIs" dxfId="635" priority="686" operator="equal">
      <formula>"Yellow"</formula>
    </cfRule>
    <cfRule type="cellIs" dxfId="634" priority="687" operator="equal">
      <formula>"Orange"</formula>
    </cfRule>
    <cfRule type="cellIs" dxfId="633" priority="688" operator="equal">
      <formula>"Brown"</formula>
    </cfRule>
    <cfRule type="cellIs" dxfId="632" priority="689" operator="equal">
      <formula>"Red"</formula>
    </cfRule>
  </conditionalFormatting>
  <conditionalFormatting sqref="F74">
    <cfRule type="cellIs" dxfId="631" priority="680" operator="equal">
      <formula>"Green"</formula>
    </cfRule>
    <cfRule type="cellIs" dxfId="630" priority="681" operator="equal">
      <formula>"Yellow"</formula>
    </cfRule>
    <cfRule type="cellIs" dxfId="629" priority="682" operator="equal">
      <formula>"Orange"</formula>
    </cfRule>
    <cfRule type="cellIs" dxfId="628" priority="683" operator="equal">
      <formula>"Brown"</formula>
    </cfRule>
    <cfRule type="cellIs" dxfId="627" priority="684" operator="equal">
      <formula>"Red"</formula>
    </cfRule>
  </conditionalFormatting>
  <conditionalFormatting sqref="F75">
    <cfRule type="cellIs" dxfId="626" priority="675" operator="equal">
      <formula>"Green"</formula>
    </cfRule>
    <cfRule type="cellIs" dxfId="625" priority="676" operator="equal">
      <formula>"Yellow"</formula>
    </cfRule>
    <cfRule type="cellIs" dxfId="624" priority="677" operator="equal">
      <formula>"Orange"</formula>
    </cfRule>
    <cfRule type="cellIs" dxfId="623" priority="678" operator="equal">
      <formula>"Brown"</formula>
    </cfRule>
    <cfRule type="cellIs" dxfId="622" priority="679" operator="equal">
      <formula>"Red"</formula>
    </cfRule>
  </conditionalFormatting>
  <conditionalFormatting sqref="F76">
    <cfRule type="cellIs" dxfId="621" priority="670" operator="equal">
      <formula>"Green"</formula>
    </cfRule>
    <cfRule type="cellIs" dxfId="620" priority="671" operator="equal">
      <formula>"Yellow"</formula>
    </cfRule>
    <cfRule type="cellIs" dxfId="619" priority="672" operator="equal">
      <formula>"Orange"</formula>
    </cfRule>
    <cfRule type="cellIs" dxfId="618" priority="673" operator="equal">
      <formula>"Brown"</formula>
    </cfRule>
    <cfRule type="cellIs" dxfId="617" priority="674" operator="equal">
      <formula>"Red"</formula>
    </cfRule>
  </conditionalFormatting>
  <conditionalFormatting sqref="F77">
    <cfRule type="cellIs" dxfId="616" priority="665" operator="equal">
      <formula>"Green"</formula>
    </cfRule>
    <cfRule type="cellIs" dxfId="615" priority="666" operator="equal">
      <formula>"Yellow"</formula>
    </cfRule>
    <cfRule type="cellIs" dxfId="614" priority="667" operator="equal">
      <formula>"Orange"</formula>
    </cfRule>
    <cfRule type="cellIs" dxfId="613" priority="668" operator="equal">
      <formula>"Brown"</formula>
    </cfRule>
    <cfRule type="cellIs" dxfId="612" priority="669" operator="equal">
      <formula>"Red"</formula>
    </cfRule>
  </conditionalFormatting>
  <conditionalFormatting sqref="F78">
    <cfRule type="cellIs" dxfId="611" priority="660" operator="equal">
      <formula>"Green"</formula>
    </cfRule>
    <cfRule type="cellIs" dxfId="610" priority="661" operator="equal">
      <formula>"Yellow"</formula>
    </cfRule>
    <cfRule type="cellIs" dxfId="609" priority="662" operator="equal">
      <formula>"Orange"</formula>
    </cfRule>
    <cfRule type="cellIs" dxfId="608" priority="663" operator="equal">
      <formula>"Brown"</formula>
    </cfRule>
    <cfRule type="cellIs" dxfId="607" priority="664" operator="equal">
      <formula>"Red"</formula>
    </cfRule>
  </conditionalFormatting>
  <conditionalFormatting sqref="F79">
    <cfRule type="cellIs" dxfId="606" priority="655" operator="equal">
      <formula>"Green"</formula>
    </cfRule>
    <cfRule type="cellIs" dxfId="605" priority="656" operator="equal">
      <formula>"Yellow"</formula>
    </cfRule>
    <cfRule type="cellIs" dxfId="604" priority="657" operator="equal">
      <formula>"Orange"</formula>
    </cfRule>
    <cfRule type="cellIs" dxfId="603" priority="658" operator="equal">
      <formula>"Brown"</formula>
    </cfRule>
    <cfRule type="cellIs" dxfId="602" priority="659" operator="equal">
      <formula>"Red"</formula>
    </cfRule>
  </conditionalFormatting>
  <conditionalFormatting sqref="F80">
    <cfRule type="cellIs" dxfId="601" priority="650" operator="equal">
      <formula>"Green"</formula>
    </cfRule>
    <cfRule type="cellIs" dxfId="600" priority="651" operator="equal">
      <formula>"Yellow"</formula>
    </cfRule>
    <cfRule type="cellIs" dxfId="599" priority="652" operator="equal">
      <formula>"Orange"</formula>
    </cfRule>
    <cfRule type="cellIs" dxfId="598" priority="653" operator="equal">
      <formula>"Brown"</formula>
    </cfRule>
    <cfRule type="cellIs" dxfId="597" priority="654" operator="equal">
      <formula>"Red"</formula>
    </cfRule>
  </conditionalFormatting>
  <conditionalFormatting sqref="F71">
    <cfRule type="cellIs" dxfId="596" priority="695" operator="equal">
      <formula>"Green"</formula>
    </cfRule>
    <cfRule type="cellIs" dxfId="595" priority="696" operator="equal">
      <formula>"Yellow"</formula>
    </cfRule>
    <cfRule type="cellIs" dxfId="594" priority="697" operator="equal">
      <formula>"Orange"</formula>
    </cfRule>
    <cfRule type="cellIs" dxfId="593" priority="698" operator="equal">
      <formula>"Brown"</formula>
    </cfRule>
    <cfRule type="cellIs" dxfId="592" priority="699" operator="equal">
      <formula>"Red"</formula>
    </cfRule>
  </conditionalFormatting>
  <conditionalFormatting sqref="K71">
    <cfRule type="cellIs" dxfId="591" priority="645" operator="equal">
      <formula>"Green"</formula>
    </cfRule>
    <cfRule type="cellIs" dxfId="590" priority="646" operator="equal">
      <formula>"Yellow"</formula>
    </cfRule>
    <cfRule type="cellIs" dxfId="589" priority="647" operator="equal">
      <formula>"Orange"</formula>
    </cfRule>
    <cfRule type="cellIs" dxfId="588" priority="648" operator="equal">
      <formula>"Brown"</formula>
    </cfRule>
    <cfRule type="cellIs" dxfId="587" priority="649" operator="equal">
      <formula>"Red"</formula>
    </cfRule>
  </conditionalFormatting>
  <conditionalFormatting sqref="K72">
    <cfRule type="cellIs" dxfId="586" priority="640" operator="equal">
      <formula>"Green"</formula>
    </cfRule>
    <cfRule type="cellIs" dxfId="585" priority="641" operator="equal">
      <formula>"Yellow"</formula>
    </cfRule>
    <cfRule type="cellIs" dxfId="584" priority="642" operator="equal">
      <formula>"Orange"</formula>
    </cfRule>
    <cfRule type="cellIs" dxfId="583" priority="643" operator="equal">
      <formula>"Brown"</formula>
    </cfRule>
    <cfRule type="cellIs" dxfId="582" priority="644" operator="equal">
      <formula>"Red"</formula>
    </cfRule>
  </conditionalFormatting>
  <conditionalFormatting sqref="K73">
    <cfRule type="cellIs" dxfId="581" priority="635" operator="equal">
      <formula>"Green"</formula>
    </cfRule>
    <cfRule type="cellIs" dxfId="580" priority="636" operator="equal">
      <formula>"Yellow"</formula>
    </cfRule>
    <cfRule type="cellIs" dxfId="579" priority="637" operator="equal">
      <formula>"Orange"</formula>
    </cfRule>
    <cfRule type="cellIs" dxfId="578" priority="638" operator="equal">
      <formula>"Brown"</formula>
    </cfRule>
    <cfRule type="cellIs" dxfId="577" priority="639" operator="equal">
      <formula>"Red"</formula>
    </cfRule>
  </conditionalFormatting>
  <conditionalFormatting sqref="K74">
    <cfRule type="cellIs" dxfId="576" priority="630" operator="equal">
      <formula>"Green"</formula>
    </cfRule>
    <cfRule type="cellIs" dxfId="575" priority="631" operator="equal">
      <formula>"Yellow"</formula>
    </cfRule>
    <cfRule type="cellIs" dxfId="574" priority="632" operator="equal">
      <formula>"Orange"</formula>
    </cfRule>
    <cfRule type="cellIs" dxfId="573" priority="633" operator="equal">
      <formula>"Brown"</formula>
    </cfRule>
    <cfRule type="cellIs" dxfId="572" priority="634" operator="equal">
      <formula>"Red"</formula>
    </cfRule>
  </conditionalFormatting>
  <conditionalFormatting sqref="K75">
    <cfRule type="cellIs" dxfId="571" priority="625" operator="equal">
      <formula>"Green"</formula>
    </cfRule>
    <cfRule type="cellIs" dxfId="570" priority="626" operator="equal">
      <formula>"Yellow"</formula>
    </cfRule>
    <cfRule type="cellIs" dxfId="569" priority="627" operator="equal">
      <formula>"Orange"</formula>
    </cfRule>
    <cfRule type="cellIs" dxfId="568" priority="628" operator="equal">
      <formula>"Brown"</formula>
    </cfRule>
    <cfRule type="cellIs" dxfId="567" priority="629" operator="equal">
      <formula>"Red"</formula>
    </cfRule>
  </conditionalFormatting>
  <conditionalFormatting sqref="K76">
    <cfRule type="cellIs" dxfId="566" priority="620" operator="equal">
      <formula>"Green"</formula>
    </cfRule>
    <cfRule type="cellIs" dxfId="565" priority="621" operator="equal">
      <formula>"Yellow"</formula>
    </cfRule>
    <cfRule type="cellIs" dxfId="564" priority="622" operator="equal">
      <formula>"Orange"</formula>
    </cfRule>
    <cfRule type="cellIs" dxfId="563" priority="623" operator="equal">
      <formula>"Brown"</formula>
    </cfRule>
    <cfRule type="cellIs" dxfId="562" priority="624" operator="equal">
      <formula>"Red"</formula>
    </cfRule>
  </conditionalFormatting>
  <conditionalFormatting sqref="K77">
    <cfRule type="cellIs" dxfId="561" priority="615" operator="equal">
      <formula>"Green"</formula>
    </cfRule>
    <cfRule type="cellIs" dxfId="560" priority="616" operator="equal">
      <formula>"Yellow"</formula>
    </cfRule>
    <cfRule type="cellIs" dxfId="559" priority="617" operator="equal">
      <formula>"Orange"</formula>
    </cfRule>
    <cfRule type="cellIs" dxfId="558" priority="618" operator="equal">
      <formula>"Brown"</formula>
    </cfRule>
    <cfRule type="cellIs" dxfId="557" priority="619" operator="equal">
      <formula>"Red"</formula>
    </cfRule>
  </conditionalFormatting>
  <conditionalFormatting sqref="K78">
    <cfRule type="cellIs" dxfId="556" priority="610" operator="equal">
      <formula>"Green"</formula>
    </cfRule>
    <cfRule type="cellIs" dxfId="555" priority="611" operator="equal">
      <formula>"Yellow"</formula>
    </cfRule>
    <cfRule type="cellIs" dxfId="554" priority="612" operator="equal">
      <formula>"Orange"</formula>
    </cfRule>
    <cfRule type="cellIs" dxfId="553" priority="613" operator="equal">
      <formula>"Brown"</formula>
    </cfRule>
    <cfRule type="cellIs" dxfId="552" priority="614" operator="equal">
      <formula>"Red"</formula>
    </cfRule>
  </conditionalFormatting>
  <conditionalFormatting sqref="K79">
    <cfRule type="cellIs" dxfId="551" priority="605" operator="equal">
      <formula>"Green"</formula>
    </cfRule>
    <cfRule type="cellIs" dxfId="550" priority="606" operator="equal">
      <formula>"Yellow"</formula>
    </cfRule>
    <cfRule type="cellIs" dxfId="549" priority="607" operator="equal">
      <formula>"Orange"</formula>
    </cfRule>
    <cfRule type="cellIs" dxfId="548" priority="608" operator="equal">
      <formula>"Brown"</formula>
    </cfRule>
    <cfRule type="cellIs" dxfId="547" priority="609" operator="equal">
      <formula>"Red"</formula>
    </cfRule>
  </conditionalFormatting>
  <conditionalFormatting sqref="K80">
    <cfRule type="cellIs" dxfId="546" priority="600" operator="equal">
      <formula>"Green"</formula>
    </cfRule>
    <cfRule type="cellIs" dxfId="545" priority="601" operator="equal">
      <formula>"Yellow"</formula>
    </cfRule>
    <cfRule type="cellIs" dxfId="544" priority="602" operator="equal">
      <formula>"Orange"</formula>
    </cfRule>
    <cfRule type="cellIs" dxfId="543" priority="603" operator="equal">
      <formula>"Brown"</formula>
    </cfRule>
    <cfRule type="cellIs" dxfId="542" priority="604" operator="equal">
      <formula>"Red"</formula>
    </cfRule>
  </conditionalFormatting>
  <conditionalFormatting sqref="D71">
    <cfRule type="cellIs" dxfId="541" priority="595" operator="equal">
      <formula>"Green"</formula>
    </cfRule>
    <cfRule type="cellIs" dxfId="540" priority="596" operator="equal">
      <formula>"Yellow"</formula>
    </cfRule>
    <cfRule type="cellIs" dxfId="539" priority="597" operator="equal">
      <formula>"Orange"</formula>
    </cfRule>
    <cfRule type="cellIs" dxfId="538" priority="598" operator="equal">
      <formula>"Brown"</formula>
    </cfRule>
    <cfRule type="cellIs" dxfId="537" priority="599" operator="equal">
      <formula>"Red"</formula>
    </cfRule>
  </conditionalFormatting>
  <conditionalFormatting sqref="D72">
    <cfRule type="cellIs" dxfId="536" priority="590" operator="equal">
      <formula>"Green"</formula>
    </cfRule>
    <cfRule type="cellIs" dxfId="535" priority="591" operator="equal">
      <formula>"Yellow"</formula>
    </cfRule>
    <cfRule type="cellIs" dxfId="534" priority="592" operator="equal">
      <formula>"Orange"</formula>
    </cfRule>
    <cfRule type="cellIs" dxfId="533" priority="593" operator="equal">
      <formula>"Brown"</formula>
    </cfRule>
    <cfRule type="cellIs" dxfId="532" priority="594" operator="equal">
      <formula>"Red"</formula>
    </cfRule>
  </conditionalFormatting>
  <conditionalFormatting sqref="D73">
    <cfRule type="cellIs" dxfId="531" priority="585" operator="equal">
      <formula>"Green"</formula>
    </cfRule>
    <cfRule type="cellIs" dxfId="530" priority="586" operator="equal">
      <formula>"Yellow"</formula>
    </cfRule>
    <cfRule type="cellIs" dxfId="529" priority="587" operator="equal">
      <formula>"Orange"</formula>
    </cfRule>
    <cfRule type="cellIs" dxfId="528" priority="588" operator="equal">
      <formula>"Brown"</formula>
    </cfRule>
    <cfRule type="cellIs" dxfId="527" priority="589" operator="equal">
      <formula>"Red"</formula>
    </cfRule>
  </conditionalFormatting>
  <conditionalFormatting sqref="D74">
    <cfRule type="cellIs" dxfId="526" priority="580" operator="equal">
      <formula>"Green"</formula>
    </cfRule>
    <cfRule type="cellIs" dxfId="525" priority="581" operator="equal">
      <formula>"Yellow"</formula>
    </cfRule>
    <cfRule type="cellIs" dxfId="524" priority="582" operator="equal">
      <formula>"Orange"</formula>
    </cfRule>
    <cfRule type="cellIs" dxfId="523" priority="583" operator="equal">
      <formula>"Brown"</formula>
    </cfRule>
    <cfRule type="cellIs" dxfId="522" priority="584" operator="equal">
      <formula>"Red"</formula>
    </cfRule>
  </conditionalFormatting>
  <conditionalFormatting sqref="D75">
    <cfRule type="cellIs" dxfId="521" priority="575" operator="equal">
      <formula>"Green"</formula>
    </cfRule>
    <cfRule type="cellIs" dxfId="520" priority="576" operator="equal">
      <formula>"Yellow"</formula>
    </cfRule>
    <cfRule type="cellIs" dxfId="519" priority="577" operator="equal">
      <formula>"Orange"</formula>
    </cfRule>
    <cfRule type="cellIs" dxfId="518" priority="578" operator="equal">
      <formula>"Brown"</formula>
    </cfRule>
    <cfRule type="cellIs" dxfId="517" priority="579" operator="equal">
      <formula>"Red"</formula>
    </cfRule>
  </conditionalFormatting>
  <conditionalFormatting sqref="D76">
    <cfRule type="cellIs" dxfId="516" priority="570" operator="equal">
      <formula>"Green"</formula>
    </cfRule>
    <cfRule type="cellIs" dxfId="515" priority="571" operator="equal">
      <formula>"Yellow"</formula>
    </cfRule>
    <cfRule type="cellIs" dxfId="514" priority="572" operator="equal">
      <formula>"Orange"</formula>
    </cfRule>
    <cfRule type="cellIs" dxfId="513" priority="573" operator="equal">
      <formula>"Brown"</formula>
    </cfRule>
    <cfRule type="cellIs" dxfId="512" priority="574" operator="equal">
      <formula>"Red"</formula>
    </cfRule>
  </conditionalFormatting>
  <conditionalFormatting sqref="D77">
    <cfRule type="cellIs" dxfId="511" priority="565" operator="equal">
      <formula>"Green"</formula>
    </cfRule>
    <cfRule type="cellIs" dxfId="510" priority="566" operator="equal">
      <formula>"Yellow"</formula>
    </cfRule>
    <cfRule type="cellIs" dxfId="509" priority="567" operator="equal">
      <formula>"Orange"</formula>
    </cfRule>
    <cfRule type="cellIs" dxfId="508" priority="568" operator="equal">
      <formula>"Brown"</formula>
    </cfRule>
    <cfRule type="cellIs" dxfId="507" priority="569" operator="equal">
      <formula>"Red"</formula>
    </cfRule>
  </conditionalFormatting>
  <conditionalFormatting sqref="D78">
    <cfRule type="cellIs" dxfId="506" priority="560" operator="equal">
      <formula>"Green"</formula>
    </cfRule>
    <cfRule type="cellIs" dxfId="505" priority="561" operator="equal">
      <formula>"Yellow"</formula>
    </cfRule>
    <cfRule type="cellIs" dxfId="504" priority="562" operator="equal">
      <formula>"Orange"</formula>
    </cfRule>
    <cfRule type="cellIs" dxfId="503" priority="563" operator="equal">
      <formula>"Brown"</formula>
    </cfRule>
    <cfRule type="cellIs" dxfId="502" priority="564" operator="equal">
      <formula>"Red"</formula>
    </cfRule>
  </conditionalFormatting>
  <conditionalFormatting sqref="D79">
    <cfRule type="cellIs" dxfId="501" priority="555" operator="equal">
      <formula>"Green"</formula>
    </cfRule>
    <cfRule type="cellIs" dxfId="500" priority="556" operator="equal">
      <formula>"Yellow"</formula>
    </cfRule>
    <cfRule type="cellIs" dxfId="499" priority="557" operator="equal">
      <formula>"Orange"</formula>
    </cfRule>
    <cfRule type="cellIs" dxfId="498" priority="558" operator="equal">
      <formula>"Brown"</formula>
    </cfRule>
    <cfRule type="cellIs" dxfId="497" priority="559" operator="equal">
      <formula>"Red"</formula>
    </cfRule>
  </conditionalFormatting>
  <conditionalFormatting sqref="D80">
    <cfRule type="cellIs" dxfId="496" priority="550" operator="equal">
      <formula>"Green"</formula>
    </cfRule>
    <cfRule type="cellIs" dxfId="495" priority="551" operator="equal">
      <formula>"Yellow"</formula>
    </cfRule>
    <cfRule type="cellIs" dxfId="494" priority="552" operator="equal">
      <formula>"Orange"</formula>
    </cfRule>
    <cfRule type="cellIs" dxfId="493" priority="553" operator="equal">
      <formula>"Brown"</formula>
    </cfRule>
    <cfRule type="cellIs" dxfId="492" priority="554" operator="equal">
      <formula>"Red"</formula>
    </cfRule>
  </conditionalFormatting>
  <conditionalFormatting sqref="D81">
    <cfRule type="cellIs" dxfId="491" priority="545" operator="equal">
      <formula>"Green"</formula>
    </cfRule>
    <cfRule type="cellIs" dxfId="490" priority="546" operator="equal">
      <formula>"Yellow"</formula>
    </cfRule>
    <cfRule type="cellIs" dxfId="489" priority="547" operator="equal">
      <formula>"Orange"</formula>
    </cfRule>
    <cfRule type="cellIs" dxfId="488" priority="548" operator="equal">
      <formula>"Brown"</formula>
    </cfRule>
    <cfRule type="cellIs" dxfId="487" priority="549" operator="equal">
      <formula>"Red"</formula>
    </cfRule>
  </conditionalFormatting>
  <conditionalFormatting sqref="I61">
    <cfRule type="cellIs" dxfId="486" priority="540" operator="equal">
      <formula>"Green"</formula>
    </cfRule>
    <cfRule type="cellIs" dxfId="485" priority="541" operator="equal">
      <formula>"Yellow"</formula>
    </cfRule>
    <cfRule type="cellIs" dxfId="484" priority="542" operator="equal">
      <formula>"Orange"</formula>
    </cfRule>
    <cfRule type="cellIs" dxfId="483" priority="543" operator="equal">
      <formula>"Brown"</formula>
    </cfRule>
    <cfRule type="cellIs" dxfId="482" priority="544" operator="equal">
      <formula>"Red"</formula>
    </cfRule>
  </conditionalFormatting>
  <conditionalFormatting sqref="I62">
    <cfRule type="cellIs" dxfId="481" priority="535" operator="equal">
      <formula>"Green"</formula>
    </cfRule>
    <cfRule type="cellIs" dxfId="480" priority="536" operator="equal">
      <formula>"Yellow"</formula>
    </cfRule>
    <cfRule type="cellIs" dxfId="479" priority="537" operator="equal">
      <formula>"Orange"</formula>
    </cfRule>
    <cfRule type="cellIs" dxfId="478" priority="538" operator="equal">
      <formula>"Brown"</formula>
    </cfRule>
    <cfRule type="cellIs" dxfId="477" priority="539" operator="equal">
      <formula>"Red"</formula>
    </cfRule>
  </conditionalFormatting>
  <conditionalFormatting sqref="I63">
    <cfRule type="cellIs" dxfId="476" priority="530" operator="equal">
      <formula>"Green"</formula>
    </cfRule>
    <cfRule type="cellIs" dxfId="475" priority="531" operator="equal">
      <formula>"Yellow"</formula>
    </cfRule>
    <cfRule type="cellIs" dxfId="474" priority="532" operator="equal">
      <formula>"Orange"</formula>
    </cfRule>
    <cfRule type="cellIs" dxfId="473" priority="533" operator="equal">
      <formula>"Brown"</formula>
    </cfRule>
    <cfRule type="cellIs" dxfId="472" priority="534" operator="equal">
      <formula>"Red"</formula>
    </cfRule>
  </conditionalFormatting>
  <conditionalFormatting sqref="I64">
    <cfRule type="cellIs" dxfId="471" priority="525" operator="equal">
      <formula>"Green"</formula>
    </cfRule>
    <cfRule type="cellIs" dxfId="470" priority="526" operator="equal">
      <formula>"Yellow"</formula>
    </cfRule>
    <cfRule type="cellIs" dxfId="469" priority="527" operator="equal">
      <formula>"Orange"</formula>
    </cfRule>
    <cfRule type="cellIs" dxfId="468" priority="528" operator="equal">
      <formula>"Brown"</formula>
    </cfRule>
    <cfRule type="cellIs" dxfId="467" priority="529" operator="equal">
      <formula>"Red"</formula>
    </cfRule>
  </conditionalFormatting>
  <conditionalFormatting sqref="I65">
    <cfRule type="cellIs" dxfId="466" priority="520" operator="equal">
      <formula>"Green"</formula>
    </cfRule>
    <cfRule type="cellIs" dxfId="465" priority="521" operator="equal">
      <formula>"Yellow"</formula>
    </cfRule>
    <cfRule type="cellIs" dxfId="464" priority="522" operator="equal">
      <formula>"Orange"</formula>
    </cfRule>
    <cfRule type="cellIs" dxfId="463" priority="523" operator="equal">
      <formula>"Brown"</formula>
    </cfRule>
    <cfRule type="cellIs" dxfId="462" priority="524" operator="equal">
      <formula>"Red"</formula>
    </cfRule>
  </conditionalFormatting>
  <conditionalFormatting sqref="I66">
    <cfRule type="cellIs" dxfId="461" priority="515" operator="equal">
      <formula>"Green"</formula>
    </cfRule>
    <cfRule type="cellIs" dxfId="460" priority="516" operator="equal">
      <formula>"Yellow"</formula>
    </cfRule>
    <cfRule type="cellIs" dxfId="459" priority="517" operator="equal">
      <formula>"Orange"</formula>
    </cfRule>
    <cfRule type="cellIs" dxfId="458" priority="518" operator="equal">
      <formula>"Brown"</formula>
    </cfRule>
    <cfRule type="cellIs" dxfId="457" priority="519" operator="equal">
      <formula>"Red"</formula>
    </cfRule>
  </conditionalFormatting>
  <conditionalFormatting sqref="I67">
    <cfRule type="cellIs" dxfId="456" priority="510" operator="equal">
      <formula>"Green"</formula>
    </cfRule>
    <cfRule type="cellIs" dxfId="455" priority="511" operator="equal">
      <formula>"Yellow"</formula>
    </cfRule>
    <cfRule type="cellIs" dxfId="454" priority="512" operator="equal">
      <formula>"Orange"</formula>
    </cfRule>
    <cfRule type="cellIs" dxfId="453" priority="513" operator="equal">
      <formula>"Brown"</formula>
    </cfRule>
    <cfRule type="cellIs" dxfId="452" priority="514" operator="equal">
      <formula>"Red"</formula>
    </cfRule>
  </conditionalFormatting>
  <conditionalFormatting sqref="I68">
    <cfRule type="cellIs" dxfId="451" priority="505" operator="equal">
      <formula>"Green"</formula>
    </cfRule>
    <cfRule type="cellIs" dxfId="450" priority="506" operator="equal">
      <formula>"Yellow"</formula>
    </cfRule>
    <cfRule type="cellIs" dxfId="449" priority="507" operator="equal">
      <formula>"Orange"</formula>
    </cfRule>
    <cfRule type="cellIs" dxfId="448" priority="508" operator="equal">
      <formula>"Brown"</formula>
    </cfRule>
    <cfRule type="cellIs" dxfId="447" priority="509" operator="equal">
      <formula>"Red"</formula>
    </cfRule>
  </conditionalFormatting>
  <conditionalFormatting sqref="I69">
    <cfRule type="cellIs" dxfId="446" priority="500" operator="equal">
      <formula>"Green"</formula>
    </cfRule>
    <cfRule type="cellIs" dxfId="445" priority="501" operator="equal">
      <formula>"Yellow"</formula>
    </cfRule>
    <cfRule type="cellIs" dxfId="444" priority="502" operator="equal">
      <formula>"Orange"</formula>
    </cfRule>
    <cfRule type="cellIs" dxfId="443" priority="503" operator="equal">
      <formula>"Brown"</formula>
    </cfRule>
    <cfRule type="cellIs" dxfId="442" priority="504" operator="equal">
      <formula>"Red"</formula>
    </cfRule>
  </conditionalFormatting>
  <conditionalFormatting sqref="I70">
    <cfRule type="cellIs" dxfId="441" priority="495" operator="equal">
      <formula>"Green"</formula>
    </cfRule>
    <cfRule type="cellIs" dxfId="440" priority="496" operator="equal">
      <formula>"Yellow"</formula>
    </cfRule>
    <cfRule type="cellIs" dxfId="439" priority="497" operator="equal">
      <formula>"Orange"</formula>
    </cfRule>
    <cfRule type="cellIs" dxfId="438" priority="498" operator="equal">
      <formula>"Brown"</formula>
    </cfRule>
    <cfRule type="cellIs" dxfId="437" priority="499" operator="equal">
      <formula>"Red"</formula>
    </cfRule>
  </conditionalFormatting>
  <conditionalFormatting sqref="I71">
    <cfRule type="cellIs" dxfId="436" priority="490" operator="equal">
      <formula>"Green"</formula>
    </cfRule>
    <cfRule type="cellIs" dxfId="435" priority="491" operator="equal">
      <formula>"Yellow"</formula>
    </cfRule>
    <cfRule type="cellIs" dxfId="434" priority="492" operator="equal">
      <formula>"Orange"</formula>
    </cfRule>
    <cfRule type="cellIs" dxfId="433" priority="493" operator="equal">
      <formula>"Brown"</formula>
    </cfRule>
    <cfRule type="cellIs" dxfId="432" priority="494" operator="equal">
      <formula>"Red"</formula>
    </cfRule>
  </conditionalFormatting>
  <conditionalFormatting sqref="I72">
    <cfRule type="cellIs" dxfId="431" priority="485" operator="equal">
      <formula>"Green"</formula>
    </cfRule>
    <cfRule type="cellIs" dxfId="430" priority="486" operator="equal">
      <formula>"Yellow"</formula>
    </cfRule>
    <cfRule type="cellIs" dxfId="429" priority="487" operator="equal">
      <formula>"Orange"</formula>
    </cfRule>
    <cfRule type="cellIs" dxfId="428" priority="488" operator="equal">
      <formula>"Brown"</formula>
    </cfRule>
    <cfRule type="cellIs" dxfId="427" priority="489" operator="equal">
      <formula>"Red"</formula>
    </cfRule>
  </conditionalFormatting>
  <conditionalFormatting sqref="I73">
    <cfRule type="cellIs" dxfId="426" priority="480" operator="equal">
      <formula>"Green"</formula>
    </cfRule>
    <cfRule type="cellIs" dxfId="425" priority="481" operator="equal">
      <formula>"Yellow"</formula>
    </cfRule>
    <cfRule type="cellIs" dxfId="424" priority="482" operator="equal">
      <formula>"Orange"</formula>
    </cfRule>
    <cfRule type="cellIs" dxfId="423" priority="483" operator="equal">
      <formula>"Brown"</formula>
    </cfRule>
    <cfRule type="cellIs" dxfId="422" priority="484" operator="equal">
      <formula>"Red"</formula>
    </cfRule>
  </conditionalFormatting>
  <conditionalFormatting sqref="I74">
    <cfRule type="cellIs" dxfId="421" priority="475" operator="equal">
      <formula>"Green"</formula>
    </cfRule>
    <cfRule type="cellIs" dxfId="420" priority="476" operator="equal">
      <formula>"Yellow"</formula>
    </cfRule>
    <cfRule type="cellIs" dxfId="419" priority="477" operator="equal">
      <formula>"Orange"</formula>
    </cfRule>
    <cfRule type="cellIs" dxfId="418" priority="478" operator="equal">
      <formula>"Brown"</formula>
    </cfRule>
    <cfRule type="cellIs" dxfId="417" priority="479" operator="equal">
      <formula>"Red"</formula>
    </cfRule>
  </conditionalFormatting>
  <conditionalFormatting sqref="I75">
    <cfRule type="cellIs" dxfId="416" priority="470" operator="equal">
      <formula>"Green"</formula>
    </cfRule>
    <cfRule type="cellIs" dxfId="415" priority="471" operator="equal">
      <formula>"Yellow"</formula>
    </cfRule>
    <cfRule type="cellIs" dxfId="414" priority="472" operator="equal">
      <formula>"Orange"</formula>
    </cfRule>
    <cfRule type="cellIs" dxfId="413" priority="473" operator="equal">
      <formula>"Brown"</formula>
    </cfRule>
    <cfRule type="cellIs" dxfId="412" priority="474" operator="equal">
      <formula>"Red"</formula>
    </cfRule>
  </conditionalFormatting>
  <conditionalFormatting sqref="I76">
    <cfRule type="cellIs" dxfId="411" priority="465" operator="equal">
      <formula>"Green"</formula>
    </cfRule>
    <cfRule type="cellIs" dxfId="410" priority="466" operator="equal">
      <formula>"Yellow"</formula>
    </cfRule>
    <cfRule type="cellIs" dxfId="409" priority="467" operator="equal">
      <formula>"Orange"</formula>
    </cfRule>
    <cfRule type="cellIs" dxfId="408" priority="468" operator="equal">
      <formula>"Brown"</formula>
    </cfRule>
    <cfRule type="cellIs" dxfId="407" priority="469" operator="equal">
      <formula>"Red"</formula>
    </cfRule>
  </conditionalFormatting>
  <conditionalFormatting sqref="I77">
    <cfRule type="cellIs" dxfId="406" priority="460" operator="equal">
      <formula>"Green"</formula>
    </cfRule>
    <cfRule type="cellIs" dxfId="405" priority="461" operator="equal">
      <formula>"Yellow"</formula>
    </cfRule>
    <cfRule type="cellIs" dxfId="404" priority="462" operator="equal">
      <formula>"Orange"</formula>
    </cfRule>
    <cfRule type="cellIs" dxfId="403" priority="463" operator="equal">
      <formula>"Brown"</formula>
    </cfRule>
    <cfRule type="cellIs" dxfId="402" priority="464" operator="equal">
      <formula>"Red"</formula>
    </cfRule>
  </conditionalFormatting>
  <conditionalFormatting sqref="I78">
    <cfRule type="cellIs" dxfId="401" priority="455" operator="equal">
      <formula>"Green"</formula>
    </cfRule>
    <cfRule type="cellIs" dxfId="400" priority="456" operator="equal">
      <formula>"Yellow"</formula>
    </cfRule>
    <cfRule type="cellIs" dxfId="399" priority="457" operator="equal">
      <formula>"Orange"</formula>
    </cfRule>
    <cfRule type="cellIs" dxfId="398" priority="458" operator="equal">
      <formula>"Brown"</formula>
    </cfRule>
    <cfRule type="cellIs" dxfId="397" priority="459" operator="equal">
      <formula>"Red"</formula>
    </cfRule>
  </conditionalFormatting>
  <conditionalFormatting sqref="I79">
    <cfRule type="cellIs" dxfId="396" priority="450" operator="equal">
      <formula>"Green"</formula>
    </cfRule>
    <cfRule type="cellIs" dxfId="395" priority="451" operator="equal">
      <formula>"Yellow"</formula>
    </cfRule>
    <cfRule type="cellIs" dxfId="394" priority="452" operator="equal">
      <formula>"Orange"</formula>
    </cfRule>
    <cfRule type="cellIs" dxfId="393" priority="453" operator="equal">
      <formula>"Brown"</formula>
    </cfRule>
    <cfRule type="cellIs" dxfId="392" priority="454" operator="equal">
      <formula>"Red"</formula>
    </cfRule>
  </conditionalFormatting>
  <conditionalFormatting sqref="I80">
    <cfRule type="cellIs" dxfId="391" priority="445" operator="equal">
      <formula>"Green"</formula>
    </cfRule>
    <cfRule type="cellIs" dxfId="390" priority="446" operator="equal">
      <formula>"Yellow"</formula>
    </cfRule>
    <cfRule type="cellIs" dxfId="389" priority="447" operator="equal">
      <formula>"Orange"</formula>
    </cfRule>
    <cfRule type="cellIs" dxfId="388" priority="448" operator="equal">
      <formula>"Brown"</formula>
    </cfRule>
    <cfRule type="cellIs" dxfId="387" priority="449" operator="equal">
      <formula>"Red"</formula>
    </cfRule>
  </conditionalFormatting>
  <conditionalFormatting sqref="I81">
    <cfRule type="cellIs" dxfId="386" priority="440" operator="equal">
      <formula>"Green"</formula>
    </cfRule>
    <cfRule type="cellIs" dxfId="385" priority="441" operator="equal">
      <formula>"Yellow"</formula>
    </cfRule>
    <cfRule type="cellIs" dxfId="384" priority="442" operator="equal">
      <formula>"Orange"</formula>
    </cfRule>
    <cfRule type="cellIs" dxfId="383" priority="443" operator="equal">
      <formula>"Brown"</formula>
    </cfRule>
    <cfRule type="cellIs" dxfId="382" priority="444" operator="equal">
      <formula>"Red"</formula>
    </cfRule>
  </conditionalFormatting>
  <conditionalFormatting sqref="D61">
    <cfRule type="cellIs" dxfId="381" priority="435" operator="equal">
      <formula>"Green"</formula>
    </cfRule>
    <cfRule type="cellIs" dxfId="380" priority="436" operator="equal">
      <formula>"Yellow"</formula>
    </cfRule>
    <cfRule type="cellIs" dxfId="379" priority="437" operator="equal">
      <formula>"Orange"</formula>
    </cfRule>
    <cfRule type="cellIs" dxfId="378" priority="438" operator="equal">
      <formula>"Brown"</formula>
    </cfRule>
    <cfRule type="cellIs" dxfId="377" priority="439" operator="equal">
      <formula>"Red"</formula>
    </cfRule>
  </conditionalFormatting>
  <conditionalFormatting sqref="F61">
    <cfRule type="cellIs" dxfId="376" priority="430" operator="equal">
      <formula>"Green"</formula>
    </cfRule>
    <cfRule type="cellIs" dxfId="375" priority="431" operator="equal">
      <formula>"Yellow"</formula>
    </cfRule>
    <cfRule type="cellIs" dxfId="374" priority="432" operator="equal">
      <formula>"Orange"</formula>
    </cfRule>
    <cfRule type="cellIs" dxfId="373" priority="433" operator="equal">
      <formula>"Brown"</formula>
    </cfRule>
    <cfRule type="cellIs" dxfId="372" priority="434" operator="equal">
      <formula>"Red"</formula>
    </cfRule>
  </conditionalFormatting>
  <conditionalFormatting sqref="F62">
    <cfRule type="cellIs" dxfId="371" priority="425" operator="equal">
      <formula>"Green"</formula>
    </cfRule>
    <cfRule type="cellIs" dxfId="370" priority="426" operator="equal">
      <formula>"Yellow"</formula>
    </cfRule>
    <cfRule type="cellIs" dxfId="369" priority="427" operator="equal">
      <formula>"Orange"</formula>
    </cfRule>
    <cfRule type="cellIs" dxfId="368" priority="428" operator="equal">
      <formula>"Brown"</formula>
    </cfRule>
    <cfRule type="cellIs" dxfId="367" priority="429" operator="equal">
      <formula>"Red"</formula>
    </cfRule>
  </conditionalFormatting>
  <conditionalFormatting sqref="F63">
    <cfRule type="cellIs" dxfId="366" priority="420" operator="equal">
      <formula>"Green"</formula>
    </cfRule>
    <cfRule type="cellIs" dxfId="365" priority="421" operator="equal">
      <formula>"Yellow"</formula>
    </cfRule>
    <cfRule type="cellIs" dxfId="364" priority="422" operator="equal">
      <formula>"Orange"</formula>
    </cfRule>
    <cfRule type="cellIs" dxfId="363" priority="423" operator="equal">
      <formula>"Brown"</formula>
    </cfRule>
    <cfRule type="cellIs" dxfId="362" priority="424" operator="equal">
      <formula>"Red"</formula>
    </cfRule>
  </conditionalFormatting>
  <conditionalFormatting sqref="F64">
    <cfRule type="cellIs" dxfId="361" priority="415" operator="equal">
      <formula>"Green"</formula>
    </cfRule>
    <cfRule type="cellIs" dxfId="360" priority="416" operator="equal">
      <formula>"Yellow"</formula>
    </cfRule>
    <cfRule type="cellIs" dxfId="359" priority="417" operator="equal">
      <formula>"Orange"</formula>
    </cfRule>
    <cfRule type="cellIs" dxfId="358" priority="418" operator="equal">
      <formula>"Brown"</formula>
    </cfRule>
    <cfRule type="cellIs" dxfId="357" priority="419" operator="equal">
      <formula>"Red"</formula>
    </cfRule>
  </conditionalFormatting>
  <conditionalFormatting sqref="F65">
    <cfRule type="cellIs" dxfId="356" priority="410" operator="equal">
      <formula>"Green"</formula>
    </cfRule>
    <cfRule type="cellIs" dxfId="355" priority="411" operator="equal">
      <formula>"Yellow"</formula>
    </cfRule>
    <cfRule type="cellIs" dxfId="354" priority="412" operator="equal">
      <formula>"Orange"</formula>
    </cfRule>
    <cfRule type="cellIs" dxfId="353" priority="413" operator="equal">
      <formula>"Brown"</formula>
    </cfRule>
    <cfRule type="cellIs" dxfId="352" priority="414" operator="equal">
      <formula>"Red"</formula>
    </cfRule>
  </conditionalFormatting>
  <conditionalFormatting sqref="F66">
    <cfRule type="cellIs" dxfId="351" priority="405" operator="equal">
      <formula>"Green"</formula>
    </cfRule>
    <cfRule type="cellIs" dxfId="350" priority="406" operator="equal">
      <formula>"Yellow"</formula>
    </cfRule>
    <cfRule type="cellIs" dxfId="349" priority="407" operator="equal">
      <formula>"Orange"</formula>
    </cfRule>
    <cfRule type="cellIs" dxfId="348" priority="408" operator="equal">
      <formula>"Brown"</formula>
    </cfRule>
    <cfRule type="cellIs" dxfId="347" priority="409" operator="equal">
      <formula>"Red"</formula>
    </cfRule>
  </conditionalFormatting>
  <conditionalFormatting sqref="F67">
    <cfRule type="cellIs" dxfId="346" priority="400" operator="equal">
      <formula>"Green"</formula>
    </cfRule>
    <cfRule type="cellIs" dxfId="345" priority="401" operator="equal">
      <formula>"Yellow"</formula>
    </cfRule>
    <cfRule type="cellIs" dxfId="344" priority="402" operator="equal">
      <formula>"Orange"</formula>
    </cfRule>
    <cfRule type="cellIs" dxfId="343" priority="403" operator="equal">
      <formula>"Brown"</formula>
    </cfRule>
    <cfRule type="cellIs" dxfId="342" priority="404" operator="equal">
      <formula>"Red"</formula>
    </cfRule>
  </conditionalFormatting>
  <conditionalFormatting sqref="F68">
    <cfRule type="cellIs" dxfId="341" priority="395" operator="equal">
      <formula>"Green"</formula>
    </cfRule>
    <cfRule type="cellIs" dxfId="340" priority="396" operator="equal">
      <formula>"Yellow"</formula>
    </cfRule>
    <cfRule type="cellIs" dxfId="339" priority="397" operator="equal">
      <formula>"Orange"</formula>
    </cfRule>
    <cfRule type="cellIs" dxfId="338" priority="398" operator="equal">
      <formula>"Brown"</formula>
    </cfRule>
    <cfRule type="cellIs" dxfId="337" priority="399" operator="equal">
      <formula>"Red"</formula>
    </cfRule>
  </conditionalFormatting>
  <conditionalFormatting sqref="F69">
    <cfRule type="cellIs" dxfId="336" priority="390" operator="equal">
      <formula>"Green"</formula>
    </cfRule>
    <cfRule type="cellIs" dxfId="335" priority="391" operator="equal">
      <formula>"Yellow"</formula>
    </cfRule>
    <cfRule type="cellIs" dxfId="334" priority="392" operator="equal">
      <formula>"Orange"</formula>
    </cfRule>
    <cfRule type="cellIs" dxfId="333" priority="393" operator="equal">
      <formula>"Brown"</formula>
    </cfRule>
    <cfRule type="cellIs" dxfId="332" priority="394" operator="equal">
      <formula>"Red"</formula>
    </cfRule>
  </conditionalFormatting>
  <conditionalFormatting sqref="F70">
    <cfRule type="cellIs" dxfId="331" priority="385" operator="equal">
      <formula>"Green"</formula>
    </cfRule>
    <cfRule type="cellIs" dxfId="330" priority="386" operator="equal">
      <formula>"Yellow"</formula>
    </cfRule>
    <cfRule type="cellIs" dxfId="329" priority="387" operator="equal">
      <formula>"Orange"</formula>
    </cfRule>
    <cfRule type="cellIs" dxfId="328" priority="388" operator="equal">
      <formula>"Brown"</formula>
    </cfRule>
    <cfRule type="cellIs" dxfId="327" priority="389" operator="equal">
      <formula>"Red"</formula>
    </cfRule>
  </conditionalFormatting>
  <conditionalFormatting sqref="D62">
    <cfRule type="cellIs" dxfId="326" priority="380" operator="equal">
      <formula>"Green"</formula>
    </cfRule>
    <cfRule type="cellIs" dxfId="325" priority="381" operator="equal">
      <formula>"Yellow"</formula>
    </cfRule>
    <cfRule type="cellIs" dxfId="324" priority="382" operator="equal">
      <formula>"Orange"</formula>
    </cfRule>
    <cfRule type="cellIs" dxfId="323" priority="383" operator="equal">
      <formula>"Brown"</formula>
    </cfRule>
    <cfRule type="cellIs" dxfId="322" priority="384" operator="equal">
      <formula>"Red"</formula>
    </cfRule>
  </conditionalFormatting>
  <conditionalFormatting sqref="D63">
    <cfRule type="cellIs" dxfId="321" priority="375" operator="equal">
      <formula>"Green"</formula>
    </cfRule>
    <cfRule type="cellIs" dxfId="320" priority="376" operator="equal">
      <formula>"Yellow"</formula>
    </cfRule>
    <cfRule type="cellIs" dxfId="319" priority="377" operator="equal">
      <formula>"Orange"</formula>
    </cfRule>
    <cfRule type="cellIs" dxfId="318" priority="378" operator="equal">
      <formula>"Brown"</formula>
    </cfRule>
    <cfRule type="cellIs" dxfId="317" priority="379" operator="equal">
      <formula>"Red"</formula>
    </cfRule>
  </conditionalFormatting>
  <conditionalFormatting sqref="D64">
    <cfRule type="cellIs" dxfId="316" priority="370" operator="equal">
      <formula>"Green"</formula>
    </cfRule>
    <cfRule type="cellIs" dxfId="315" priority="371" operator="equal">
      <formula>"Yellow"</formula>
    </cfRule>
    <cfRule type="cellIs" dxfId="314" priority="372" operator="equal">
      <formula>"Orange"</formula>
    </cfRule>
    <cfRule type="cellIs" dxfId="313" priority="373" operator="equal">
      <formula>"Brown"</formula>
    </cfRule>
    <cfRule type="cellIs" dxfId="312" priority="374" operator="equal">
      <formula>"Red"</formula>
    </cfRule>
  </conditionalFormatting>
  <conditionalFormatting sqref="D65">
    <cfRule type="cellIs" dxfId="311" priority="365" operator="equal">
      <formula>"Green"</formula>
    </cfRule>
    <cfRule type="cellIs" dxfId="310" priority="366" operator="equal">
      <formula>"Yellow"</formula>
    </cfRule>
    <cfRule type="cellIs" dxfId="309" priority="367" operator="equal">
      <formula>"Orange"</formula>
    </cfRule>
    <cfRule type="cellIs" dxfId="308" priority="368" operator="equal">
      <formula>"Brown"</formula>
    </cfRule>
    <cfRule type="cellIs" dxfId="307" priority="369" operator="equal">
      <formula>"Red"</formula>
    </cfRule>
  </conditionalFormatting>
  <conditionalFormatting sqref="D66">
    <cfRule type="cellIs" dxfId="306" priority="360" operator="equal">
      <formula>"Green"</formula>
    </cfRule>
    <cfRule type="cellIs" dxfId="305" priority="361" operator="equal">
      <formula>"Yellow"</formula>
    </cfRule>
    <cfRule type="cellIs" dxfId="304" priority="362" operator="equal">
      <formula>"Orange"</formula>
    </cfRule>
    <cfRule type="cellIs" dxfId="303" priority="363" operator="equal">
      <formula>"Brown"</formula>
    </cfRule>
    <cfRule type="cellIs" dxfId="302" priority="364" operator="equal">
      <formula>"Red"</formula>
    </cfRule>
  </conditionalFormatting>
  <conditionalFormatting sqref="D67">
    <cfRule type="cellIs" dxfId="301" priority="355" operator="equal">
      <formula>"Green"</formula>
    </cfRule>
    <cfRule type="cellIs" dxfId="300" priority="356" operator="equal">
      <formula>"Yellow"</formula>
    </cfRule>
    <cfRule type="cellIs" dxfId="299" priority="357" operator="equal">
      <formula>"Orange"</formula>
    </cfRule>
    <cfRule type="cellIs" dxfId="298" priority="358" operator="equal">
      <formula>"Brown"</formula>
    </cfRule>
    <cfRule type="cellIs" dxfId="297" priority="359" operator="equal">
      <formula>"Red"</formula>
    </cfRule>
  </conditionalFormatting>
  <conditionalFormatting sqref="D68">
    <cfRule type="cellIs" dxfId="296" priority="350" operator="equal">
      <formula>"Green"</formula>
    </cfRule>
    <cfRule type="cellIs" dxfId="295" priority="351" operator="equal">
      <formula>"Yellow"</formula>
    </cfRule>
    <cfRule type="cellIs" dxfId="294" priority="352" operator="equal">
      <formula>"Orange"</formula>
    </cfRule>
    <cfRule type="cellIs" dxfId="293" priority="353" operator="equal">
      <formula>"Brown"</formula>
    </cfRule>
    <cfRule type="cellIs" dxfId="292" priority="354" operator="equal">
      <formula>"Red"</formula>
    </cfRule>
  </conditionalFormatting>
  <conditionalFormatting sqref="D69">
    <cfRule type="cellIs" dxfId="291" priority="345" operator="equal">
      <formula>"Green"</formula>
    </cfRule>
    <cfRule type="cellIs" dxfId="290" priority="346" operator="equal">
      <formula>"Yellow"</formula>
    </cfRule>
    <cfRule type="cellIs" dxfId="289" priority="347" operator="equal">
      <formula>"Orange"</formula>
    </cfRule>
    <cfRule type="cellIs" dxfId="288" priority="348" operator="equal">
      <formula>"Brown"</formula>
    </cfRule>
    <cfRule type="cellIs" dxfId="287" priority="349" operator="equal">
      <formula>"Red"</formula>
    </cfRule>
  </conditionalFormatting>
  <conditionalFormatting sqref="D70">
    <cfRule type="cellIs" dxfId="286" priority="340" operator="equal">
      <formula>"Green"</formula>
    </cfRule>
    <cfRule type="cellIs" dxfId="285" priority="341" operator="equal">
      <formula>"Yellow"</formula>
    </cfRule>
    <cfRule type="cellIs" dxfId="284" priority="342" operator="equal">
      <formula>"Orange"</formula>
    </cfRule>
    <cfRule type="cellIs" dxfId="283" priority="343" operator="equal">
      <formula>"Brown"</formula>
    </cfRule>
    <cfRule type="cellIs" dxfId="282" priority="344" operator="equal">
      <formula>"Red"</formula>
    </cfRule>
  </conditionalFormatting>
  <conditionalFormatting sqref="K61">
    <cfRule type="cellIs" dxfId="281" priority="335" operator="equal">
      <formula>"Green"</formula>
    </cfRule>
    <cfRule type="cellIs" dxfId="280" priority="336" operator="equal">
      <formula>"Yellow"</formula>
    </cfRule>
    <cfRule type="cellIs" dxfId="279" priority="337" operator="equal">
      <formula>"Orange"</formula>
    </cfRule>
    <cfRule type="cellIs" dxfId="278" priority="338" operator="equal">
      <formula>"Brown"</formula>
    </cfRule>
    <cfRule type="cellIs" dxfId="277" priority="339" operator="equal">
      <formula>"Red"</formula>
    </cfRule>
  </conditionalFormatting>
  <conditionalFormatting sqref="K62">
    <cfRule type="cellIs" dxfId="276" priority="330" operator="equal">
      <formula>"Green"</formula>
    </cfRule>
    <cfRule type="cellIs" dxfId="275" priority="331" operator="equal">
      <formula>"Yellow"</formula>
    </cfRule>
    <cfRule type="cellIs" dxfId="274" priority="332" operator="equal">
      <formula>"Orange"</formula>
    </cfRule>
    <cfRule type="cellIs" dxfId="273" priority="333" operator="equal">
      <formula>"Brown"</formula>
    </cfRule>
    <cfRule type="cellIs" dxfId="272" priority="334" operator="equal">
      <formula>"Red"</formula>
    </cfRule>
  </conditionalFormatting>
  <conditionalFormatting sqref="K63">
    <cfRule type="cellIs" dxfId="271" priority="325" operator="equal">
      <formula>"Green"</formula>
    </cfRule>
    <cfRule type="cellIs" dxfId="270" priority="326" operator="equal">
      <formula>"Yellow"</formula>
    </cfRule>
    <cfRule type="cellIs" dxfId="269" priority="327" operator="equal">
      <formula>"Orange"</formula>
    </cfRule>
    <cfRule type="cellIs" dxfId="268" priority="328" operator="equal">
      <formula>"Brown"</formula>
    </cfRule>
    <cfRule type="cellIs" dxfId="267" priority="329" operator="equal">
      <formula>"Red"</formula>
    </cfRule>
  </conditionalFormatting>
  <conditionalFormatting sqref="K64">
    <cfRule type="cellIs" dxfId="266" priority="320" operator="equal">
      <formula>"Green"</formula>
    </cfRule>
    <cfRule type="cellIs" dxfId="265" priority="321" operator="equal">
      <formula>"Yellow"</formula>
    </cfRule>
    <cfRule type="cellIs" dxfId="264" priority="322" operator="equal">
      <formula>"Orange"</formula>
    </cfRule>
    <cfRule type="cellIs" dxfId="263" priority="323" operator="equal">
      <formula>"Brown"</formula>
    </cfRule>
    <cfRule type="cellIs" dxfId="262" priority="324" operator="equal">
      <formula>"Red"</formula>
    </cfRule>
  </conditionalFormatting>
  <conditionalFormatting sqref="K65">
    <cfRule type="cellIs" dxfId="261" priority="315" operator="equal">
      <formula>"Green"</formula>
    </cfRule>
    <cfRule type="cellIs" dxfId="260" priority="316" operator="equal">
      <formula>"Yellow"</formula>
    </cfRule>
    <cfRule type="cellIs" dxfId="259" priority="317" operator="equal">
      <formula>"Orange"</formula>
    </cfRule>
    <cfRule type="cellIs" dxfId="258" priority="318" operator="equal">
      <formula>"Brown"</formula>
    </cfRule>
    <cfRule type="cellIs" dxfId="257" priority="319" operator="equal">
      <formula>"Red"</formula>
    </cfRule>
  </conditionalFormatting>
  <conditionalFormatting sqref="K66">
    <cfRule type="cellIs" dxfId="256" priority="310" operator="equal">
      <formula>"Green"</formula>
    </cfRule>
    <cfRule type="cellIs" dxfId="255" priority="311" operator="equal">
      <formula>"Yellow"</formula>
    </cfRule>
    <cfRule type="cellIs" dxfId="254" priority="312" operator="equal">
      <formula>"Orange"</formula>
    </cfRule>
    <cfRule type="cellIs" dxfId="253" priority="313" operator="equal">
      <formula>"Brown"</formula>
    </cfRule>
    <cfRule type="cellIs" dxfId="252" priority="314" operator="equal">
      <formula>"Red"</formula>
    </cfRule>
  </conditionalFormatting>
  <conditionalFormatting sqref="K67">
    <cfRule type="cellIs" dxfId="251" priority="305" operator="equal">
      <formula>"Green"</formula>
    </cfRule>
    <cfRule type="cellIs" dxfId="250" priority="306" operator="equal">
      <formula>"Yellow"</formula>
    </cfRule>
    <cfRule type="cellIs" dxfId="249" priority="307" operator="equal">
      <formula>"Orange"</formula>
    </cfRule>
    <cfRule type="cellIs" dxfId="248" priority="308" operator="equal">
      <formula>"Brown"</formula>
    </cfRule>
    <cfRule type="cellIs" dxfId="247" priority="309" operator="equal">
      <formula>"Red"</formula>
    </cfRule>
  </conditionalFormatting>
  <conditionalFormatting sqref="K68">
    <cfRule type="cellIs" dxfId="246" priority="300" operator="equal">
      <formula>"Green"</formula>
    </cfRule>
    <cfRule type="cellIs" dxfId="245" priority="301" operator="equal">
      <formula>"Yellow"</formula>
    </cfRule>
    <cfRule type="cellIs" dxfId="244" priority="302" operator="equal">
      <formula>"Orange"</formula>
    </cfRule>
    <cfRule type="cellIs" dxfId="243" priority="303" operator="equal">
      <formula>"Brown"</formula>
    </cfRule>
    <cfRule type="cellIs" dxfId="242" priority="304" operator="equal">
      <formula>"Red"</formula>
    </cfRule>
  </conditionalFormatting>
  <conditionalFormatting sqref="K69">
    <cfRule type="cellIs" dxfId="241" priority="295" operator="equal">
      <formula>"Green"</formula>
    </cfRule>
    <cfRule type="cellIs" dxfId="240" priority="296" operator="equal">
      <formula>"Yellow"</formula>
    </cfRule>
    <cfRule type="cellIs" dxfId="239" priority="297" operator="equal">
      <formula>"Orange"</formula>
    </cfRule>
    <cfRule type="cellIs" dxfId="238" priority="298" operator="equal">
      <formula>"Brown"</formula>
    </cfRule>
    <cfRule type="cellIs" dxfId="237" priority="299" operator="equal">
      <formula>"Red"</formula>
    </cfRule>
  </conditionalFormatting>
  <conditionalFormatting sqref="K70">
    <cfRule type="cellIs" dxfId="236" priority="290" operator="equal">
      <formula>"Green"</formula>
    </cfRule>
    <cfRule type="cellIs" dxfId="235" priority="291" operator="equal">
      <formula>"Yellow"</formula>
    </cfRule>
    <cfRule type="cellIs" dxfId="234" priority="292" operator="equal">
      <formula>"Orange"</formula>
    </cfRule>
    <cfRule type="cellIs" dxfId="233" priority="293" operator="equal">
      <formula>"Brown"</formula>
    </cfRule>
    <cfRule type="cellIs" dxfId="232" priority="294" operator="equal">
      <formula>"Red"</formula>
    </cfRule>
  </conditionalFormatting>
  <conditionalFormatting sqref="D87">
    <cfRule type="cellIs" dxfId="231" priority="285" operator="equal">
      <formula>"Green"</formula>
    </cfRule>
    <cfRule type="cellIs" dxfId="230" priority="286" operator="equal">
      <formula>"Yellow"</formula>
    </cfRule>
    <cfRule type="cellIs" dxfId="229" priority="287" operator="equal">
      <formula>"Orange"</formula>
    </cfRule>
    <cfRule type="cellIs" dxfId="228" priority="288" operator="equal">
      <formula>"Brown"</formula>
    </cfRule>
    <cfRule type="cellIs" dxfId="227" priority="289" operator="equal">
      <formula>"Red"</formula>
    </cfRule>
  </conditionalFormatting>
  <conditionalFormatting sqref="I87">
    <cfRule type="cellIs" dxfId="226" priority="280" operator="equal">
      <formula>"Green"</formula>
    </cfRule>
    <cfRule type="cellIs" dxfId="225" priority="281" operator="equal">
      <formula>"Yellow"</formula>
    </cfRule>
    <cfRule type="cellIs" dxfId="224" priority="282" operator="equal">
      <formula>"Orange"</formula>
    </cfRule>
    <cfRule type="cellIs" dxfId="223" priority="283" operator="equal">
      <formula>"Brown"</formula>
    </cfRule>
    <cfRule type="cellIs" dxfId="222" priority="284" operator="equal">
      <formula>"Red"</formula>
    </cfRule>
  </conditionalFormatting>
  <conditionalFormatting sqref="I88">
    <cfRule type="cellIs" dxfId="221" priority="275" operator="equal">
      <formula>"Green"</formula>
    </cfRule>
    <cfRule type="cellIs" dxfId="220" priority="276" operator="equal">
      <formula>"Yellow"</formula>
    </cfRule>
    <cfRule type="cellIs" dxfId="219" priority="277" operator="equal">
      <formula>"Orange"</formula>
    </cfRule>
    <cfRule type="cellIs" dxfId="218" priority="278" operator="equal">
      <formula>"Brown"</formula>
    </cfRule>
    <cfRule type="cellIs" dxfId="217" priority="279" operator="equal">
      <formula>"Red"</formula>
    </cfRule>
  </conditionalFormatting>
  <conditionalFormatting sqref="I89">
    <cfRule type="cellIs" dxfId="216" priority="270" operator="equal">
      <formula>"Green"</formula>
    </cfRule>
    <cfRule type="cellIs" dxfId="215" priority="271" operator="equal">
      <formula>"Yellow"</formula>
    </cfRule>
    <cfRule type="cellIs" dxfId="214" priority="272" operator="equal">
      <formula>"Orange"</formula>
    </cfRule>
    <cfRule type="cellIs" dxfId="213" priority="273" operator="equal">
      <formula>"Brown"</formula>
    </cfRule>
    <cfRule type="cellIs" dxfId="212" priority="274" operator="equal">
      <formula>"Red"</formula>
    </cfRule>
  </conditionalFormatting>
  <conditionalFormatting sqref="I90">
    <cfRule type="cellIs" dxfId="211" priority="265" operator="equal">
      <formula>"Green"</formula>
    </cfRule>
    <cfRule type="cellIs" dxfId="210" priority="266" operator="equal">
      <formula>"Yellow"</formula>
    </cfRule>
    <cfRule type="cellIs" dxfId="209" priority="267" operator="equal">
      <formula>"Orange"</formula>
    </cfRule>
    <cfRule type="cellIs" dxfId="208" priority="268" operator="equal">
      <formula>"Brown"</formula>
    </cfRule>
    <cfRule type="cellIs" dxfId="207" priority="269" operator="equal">
      <formula>"Red"</formula>
    </cfRule>
  </conditionalFormatting>
  <conditionalFormatting sqref="F88:H90">
    <cfRule type="cellIs" dxfId="206" priority="259" operator="equal">
      <formula>"Green"</formula>
    </cfRule>
    <cfRule type="cellIs" dxfId="205" priority="260" operator="equal">
      <formula>"Yellow"</formula>
    </cfRule>
    <cfRule type="cellIs" dxfId="204" priority="261" operator="equal">
      <formula>"Orange"</formula>
    </cfRule>
    <cfRule type="cellIs" dxfId="203" priority="262" operator="equal">
      <formula>"Brown"</formula>
    </cfRule>
    <cfRule type="cellIs" dxfId="202" priority="263" operator="equal">
      <formula>"Red"</formula>
    </cfRule>
    <cfRule type="cellIs" dxfId="201" priority="264" operator="equal">
      <formula>"D Red"</formula>
    </cfRule>
  </conditionalFormatting>
  <conditionalFormatting sqref="G19">
    <cfRule type="cellIs" dxfId="200" priority="247" operator="equal">
      <formula>"Green"</formula>
    </cfRule>
    <cfRule type="cellIs" dxfId="199" priority="248" operator="equal">
      <formula>"Yellow"</formula>
    </cfRule>
    <cfRule type="cellIs" dxfId="198" priority="249" operator="equal">
      <formula>"Orange"</formula>
    </cfRule>
    <cfRule type="cellIs" dxfId="197" priority="250" operator="equal">
      <formula>"Brown"</formula>
    </cfRule>
    <cfRule type="cellIs" dxfId="196" priority="251" operator="equal">
      <formula>"Red"</formula>
    </cfRule>
    <cfRule type="cellIs" dxfId="195" priority="252" operator="equal">
      <formula>"D Red"</formula>
    </cfRule>
  </conditionalFormatting>
  <conditionalFormatting sqref="E18">
    <cfRule type="cellIs" dxfId="194" priority="241" operator="equal">
      <formula>"Green"</formula>
    </cfRule>
    <cfRule type="cellIs" dxfId="193" priority="242" operator="equal">
      <formula>"Yellow"</formula>
    </cfRule>
    <cfRule type="cellIs" dxfId="192" priority="243" operator="equal">
      <formula>"Orange"</formula>
    </cfRule>
    <cfRule type="cellIs" dxfId="191" priority="244" operator="equal">
      <formula>"Brown"</formula>
    </cfRule>
    <cfRule type="cellIs" dxfId="190" priority="245" operator="equal">
      <formula>"Red"</formula>
    </cfRule>
    <cfRule type="cellIs" dxfId="189" priority="246" operator="equal">
      <formula>"D Red"</formula>
    </cfRule>
  </conditionalFormatting>
  <conditionalFormatting sqref="F18">
    <cfRule type="cellIs" dxfId="188" priority="230" operator="equal">
      <formula>"Green"</formula>
    </cfRule>
    <cfRule type="cellIs" dxfId="187" priority="231" operator="equal">
      <formula>"Yellow"</formula>
    </cfRule>
    <cfRule type="cellIs" dxfId="186" priority="232" operator="equal">
      <formula>"Orange"</formula>
    </cfRule>
    <cfRule type="cellIs" dxfId="185" priority="233" operator="equal">
      <formula>"Brown"</formula>
    </cfRule>
    <cfRule type="cellIs" dxfId="184" priority="234" operator="equal">
      <formula>"Red"</formula>
    </cfRule>
    <cfRule type="cellIs" dxfId="183" priority="235" operator="equal">
      <formula>"D Red"</formula>
    </cfRule>
  </conditionalFormatting>
  <conditionalFormatting sqref="F18">
    <cfRule type="cellIs" dxfId="182" priority="229" operator="equal">
      <formula>"""AEB"""</formula>
    </cfRule>
    <cfRule type="cellIs" dxfId="181" priority="236" operator="equal">
      <formula>"Green"</formula>
    </cfRule>
    <cfRule type="cellIs" dxfId="180" priority="237" operator="equal">
      <formula>"Yellow"</formula>
    </cfRule>
    <cfRule type="cellIs" dxfId="179" priority="238" operator="equal">
      <formula>"Orange"</formula>
    </cfRule>
    <cfRule type="cellIs" dxfId="178" priority="239" operator="equal">
      <formula>"Brown"</formula>
    </cfRule>
    <cfRule type="cellIs" dxfId="177" priority="240" operator="equal">
      <formula>"Red"</formula>
    </cfRule>
  </conditionalFormatting>
  <conditionalFormatting sqref="F18">
    <cfRule type="cellIs" dxfId="176" priority="223" operator="equal">
      <formula>"Green"</formula>
    </cfRule>
    <cfRule type="cellIs" dxfId="175" priority="224" operator="equal">
      <formula>"Yellow"</formula>
    </cfRule>
    <cfRule type="cellIs" dxfId="174" priority="225" operator="equal">
      <formula>"Orange"</formula>
    </cfRule>
    <cfRule type="cellIs" dxfId="173" priority="226" operator="equal">
      <formula>"Brown"</formula>
    </cfRule>
    <cfRule type="cellIs" dxfId="172" priority="227" operator="equal">
      <formula>"Red"</formula>
    </cfRule>
    <cfRule type="cellIs" dxfId="171" priority="228" operator="equal">
      <formula>"D Red"</formula>
    </cfRule>
  </conditionalFormatting>
  <conditionalFormatting sqref="F18">
    <cfRule type="cellIs" dxfId="170" priority="217" operator="equal">
      <formula>"""AEB"""</formula>
    </cfRule>
    <cfRule type="cellIs" dxfId="169" priority="218" operator="equal">
      <formula>"Green"</formula>
    </cfRule>
    <cfRule type="cellIs" dxfId="168" priority="219" operator="equal">
      <formula>"Yellow"</formula>
    </cfRule>
    <cfRule type="cellIs" dxfId="167" priority="220" operator="equal">
      <formula>"Orange"</formula>
    </cfRule>
    <cfRule type="cellIs" dxfId="166" priority="221" operator="equal">
      <formula>"Brown"</formula>
    </cfRule>
    <cfRule type="cellIs" dxfId="165" priority="222" operator="equal">
      <formula>"Red"</formula>
    </cfRule>
  </conditionalFormatting>
  <conditionalFormatting sqref="F18">
    <cfRule type="cellIs" dxfId="164" priority="211" operator="equal">
      <formula>"Green"</formula>
    </cfRule>
    <cfRule type="cellIs" dxfId="163" priority="212" operator="equal">
      <formula>"Yellow"</formula>
    </cfRule>
    <cfRule type="cellIs" dxfId="162" priority="213" operator="equal">
      <formula>"Orange"</formula>
    </cfRule>
    <cfRule type="cellIs" dxfId="161" priority="214" operator="equal">
      <formula>"Brown"</formula>
    </cfRule>
    <cfRule type="cellIs" dxfId="160" priority="215" operator="equal">
      <formula>"Red"</formula>
    </cfRule>
    <cfRule type="cellIs" dxfId="159" priority="216" operator="equal">
      <formula>"D Red"</formula>
    </cfRule>
  </conditionalFormatting>
  <conditionalFormatting sqref="F18">
    <cfRule type="cellIs" dxfId="158" priority="205" operator="equal">
      <formula>"""AEB"""</formula>
    </cfRule>
    <cfRule type="cellIs" dxfId="157" priority="206" operator="equal">
      <formula>"Green"</formula>
    </cfRule>
    <cfRule type="cellIs" dxfId="156" priority="207" operator="equal">
      <formula>"Yellow"</formula>
    </cfRule>
    <cfRule type="cellIs" dxfId="155" priority="208" operator="equal">
      <formula>"Orange"</formula>
    </cfRule>
    <cfRule type="cellIs" dxfId="154" priority="209" operator="equal">
      <formula>"Brown"</formula>
    </cfRule>
    <cfRule type="cellIs" dxfId="153" priority="210" operator="equal">
      <formula>"Red"</formula>
    </cfRule>
  </conditionalFormatting>
  <conditionalFormatting sqref="F18">
    <cfRule type="cellIs" dxfId="152" priority="199" operator="equal">
      <formula>"""AEB"""</formula>
    </cfRule>
    <cfRule type="cellIs" dxfId="151" priority="200" operator="equal">
      <formula>"Green"</formula>
    </cfRule>
    <cfRule type="cellIs" dxfId="150" priority="201" operator="equal">
      <formula>"Yellow"</formula>
    </cfRule>
    <cfRule type="cellIs" dxfId="149" priority="202" operator="equal">
      <formula>"Orange"</formula>
    </cfRule>
    <cfRule type="cellIs" dxfId="148" priority="203" operator="equal">
      <formula>"Brown"</formula>
    </cfRule>
    <cfRule type="cellIs" dxfId="147" priority="204" operator="equal">
      <formula>"Red"</formula>
    </cfRule>
  </conditionalFormatting>
  <conditionalFormatting sqref="F18">
    <cfRule type="cellIs" dxfId="146" priority="193" operator="equal">
      <formula>"Green"</formula>
    </cfRule>
    <cfRule type="cellIs" dxfId="145" priority="194" operator="equal">
      <formula>"Yellow"</formula>
    </cfRule>
    <cfRule type="cellIs" dxfId="144" priority="195" operator="equal">
      <formula>"Orange"</formula>
    </cfRule>
    <cfRule type="cellIs" dxfId="143" priority="196" operator="equal">
      <formula>"Brown"</formula>
    </cfRule>
    <cfRule type="cellIs" dxfId="142" priority="197" operator="equal">
      <formula>"Red"</formula>
    </cfRule>
    <cfRule type="cellIs" dxfId="141" priority="198" operator="equal">
      <formula>"D Red"</formula>
    </cfRule>
  </conditionalFormatting>
  <conditionalFormatting sqref="F18">
    <cfRule type="cellIs" dxfId="140" priority="187" operator="equal">
      <formula>"Green"</formula>
    </cfRule>
    <cfRule type="cellIs" dxfId="139" priority="188" operator="equal">
      <formula>"Yellow"</formula>
    </cfRule>
    <cfRule type="cellIs" dxfId="138" priority="189" operator="equal">
      <formula>"Orange"</formula>
    </cfRule>
    <cfRule type="cellIs" dxfId="137" priority="190" operator="equal">
      <formula>"Brown"</formula>
    </cfRule>
    <cfRule type="cellIs" dxfId="136" priority="191" operator="equal">
      <formula>"Red"</formula>
    </cfRule>
    <cfRule type="cellIs" dxfId="135" priority="192" operator="equal">
      <formula>"D Red"</formula>
    </cfRule>
  </conditionalFormatting>
  <conditionalFormatting sqref="F18">
    <cfRule type="cellIs" dxfId="134" priority="181" operator="equal">
      <formula>"Green"</formula>
    </cfRule>
    <cfRule type="cellIs" dxfId="133" priority="182" operator="equal">
      <formula>"Yellow"</formula>
    </cfRule>
    <cfRule type="cellIs" dxfId="132" priority="183" operator="equal">
      <formula>"Orange"</formula>
    </cfRule>
    <cfRule type="cellIs" dxfId="131" priority="184" operator="equal">
      <formula>"Brown"</formula>
    </cfRule>
    <cfRule type="cellIs" dxfId="130" priority="185" operator="equal">
      <formula>"Red"</formula>
    </cfRule>
    <cfRule type="cellIs" dxfId="129" priority="186" operator="equal">
      <formula>"D Red"</formula>
    </cfRule>
  </conditionalFormatting>
  <conditionalFormatting sqref="I31:I32">
    <cfRule type="cellIs" dxfId="128" priority="110" operator="equal">
      <formula>"Green"</formula>
    </cfRule>
    <cfRule type="cellIs" dxfId="127" priority="111" operator="equal">
      <formula>"Yellow"</formula>
    </cfRule>
    <cfRule type="cellIs" dxfId="126" priority="112" operator="equal">
      <formula>"Orange"</formula>
    </cfRule>
    <cfRule type="cellIs" dxfId="125" priority="113" operator="equal">
      <formula>"Brown"</formula>
    </cfRule>
    <cfRule type="cellIs" dxfId="124" priority="114" operator="equal">
      <formula>"Red"</formula>
    </cfRule>
    <cfRule type="cellIs" dxfId="123" priority="115" operator="equal">
      <formula>"D Red"</formula>
    </cfRule>
  </conditionalFormatting>
  <conditionalFormatting sqref="I27:M32">
    <cfRule type="cellIs" dxfId="122" priority="116" operator="equal">
      <formula>"Green"</formula>
    </cfRule>
    <cfRule type="cellIs" dxfId="121" priority="117" operator="equal">
      <formula>"Yellow"</formula>
    </cfRule>
    <cfRule type="cellIs" dxfId="120" priority="118" operator="equal">
      <formula>"Orange"</formula>
    </cfRule>
    <cfRule type="cellIs" dxfId="119" priority="119" operator="equal">
      <formula>"Brown"</formula>
    </cfRule>
    <cfRule type="cellIs" dxfId="118" priority="120" operator="equal">
      <formula>"Red"</formula>
    </cfRule>
    <cfRule type="cellIs" dxfId="117" priority="121" operator="equal">
      <formula>"D Red"</formula>
    </cfRule>
  </conditionalFormatting>
  <conditionalFormatting sqref="I27:M32">
    <cfRule type="cellIs" dxfId="116" priority="109" operator="equal">
      <formula>"""AEB"""</formula>
    </cfRule>
    <cfRule type="cellIs" dxfId="115" priority="122" operator="equal">
      <formula>"Green"</formula>
    </cfRule>
    <cfRule type="cellIs" dxfId="114" priority="123" operator="equal">
      <formula>"Yellow"</formula>
    </cfRule>
    <cfRule type="cellIs" dxfId="113" priority="124" operator="equal">
      <formula>"Orange"</formula>
    </cfRule>
    <cfRule type="cellIs" dxfId="112" priority="125" operator="equal">
      <formula>"Brown"</formula>
    </cfRule>
    <cfRule type="cellIs" dxfId="111" priority="126" operator="equal">
      <formula>"Red"</formula>
    </cfRule>
  </conditionalFormatting>
  <conditionalFormatting sqref="K31">
    <cfRule type="cellIs" dxfId="110" priority="103" operator="equal">
      <formula>"""AEB"""</formula>
    </cfRule>
    <cfRule type="cellIs" dxfId="109" priority="104" operator="equal">
      <formula>"Green"</formula>
    </cfRule>
    <cfRule type="cellIs" dxfId="108" priority="105" operator="equal">
      <formula>"Yellow"</formula>
    </cfRule>
    <cfRule type="cellIs" dxfId="107" priority="106" operator="equal">
      <formula>"Orange"</formula>
    </cfRule>
    <cfRule type="cellIs" dxfId="106" priority="107" operator="equal">
      <formula>"Brown"</formula>
    </cfRule>
    <cfRule type="cellIs" dxfId="105" priority="108" operator="equal">
      <formula>"Red"</formula>
    </cfRule>
  </conditionalFormatting>
  <conditionalFormatting sqref="K32">
    <cfRule type="cellIs" dxfId="104" priority="97" operator="equal">
      <formula>"""AEB"""</formula>
    </cfRule>
    <cfRule type="cellIs" dxfId="103" priority="98" operator="equal">
      <formula>"Green"</formula>
    </cfRule>
    <cfRule type="cellIs" dxfId="102" priority="99" operator="equal">
      <formula>"Yellow"</formula>
    </cfRule>
    <cfRule type="cellIs" dxfId="101" priority="100" operator="equal">
      <formula>"Orange"</formula>
    </cfRule>
    <cfRule type="cellIs" dxfId="100" priority="101" operator="equal">
      <formula>"Brown"</formula>
    </cfRule>
    <cfRule type="cellIs" dxfId="99" priority="102" operator="equal">
      <formula>"Red"</formula>
    </cfRule>
  </conditionalFormatting>
  <conditionalFormatting sqref="K27:K30">
    <cfRule type="cellIs" dxfId="98" priority="91" operator="equal">
      <formula>"""AEB"""</formula>
    </cfRule>
    <cfRule type="cellIs" dxfId="97" priority="92" operator="equal">
      <formula>"Green"</formula>
    </cfRule>
    <cfRule type="cellIs" dxfId="96" priority="93" operator="equal">
      <formula>"Yellow"</formula>
    </cfRule>
    <cfRule type="cellIs" dxfId="95" priority="94" operator="equal">
      <formula>"Orange"</formula>
    </cfRule>
    <cfRule type="cellIs" dxfId="94" priority="95" operator="equal">
      <formula>"Brown"</formula>
    </cfRule>
    <cfRule type="cellIs" dxfId="93" priority="96" operator="equal">
      <formula>"Red"</formula>
    </cfRule>
  </conditionalFormatting>
  <conditionalFormatting sqref="L29">
    <cfRule type="cellIs" dxfId="92" priority="85" operator="equal">
      <formula>"Green"</formula>
    </cfRule>
    <cfRule type="cellIs" dxfId="91" priority="86" operator="equal">
      <formula>"Yellow"</formula>
    </cfRule>
    <cfRule type="cellIs" dxfId="90" priority="87" operator="equal">
      <formula>"Orange"</formula>
    </cfRule>
    <cfRule type="cellIs" dxfId="89" priority="88" operator="equal">
      <formula>"Brown"</formula>
    </cfRule>
    <cfRule type="cellIs" dxfId="88" priority="89" operator="equal">
      <formula>"Red"</formula>
    </cfRule>
    <cfRule type="cellIs" dxfId="87" priority="90" operator="equal">
      <formula>"D Red"</formula>
    </cfRule>
  </conditionalFormatting>
  <conditionalFormatting sqref="L30">
    <cfRule type="cellIs" dxfId="86" priority="79" operator="equal">
      <formula>"Green"</formula>
    </cfRule>
    <cfRule type="cellIs" dxfId="85" priority="80" operator="equal">
      <formula>"Yellow"</formula>
    </cfRule>
    <cfRule type="cellIs" dxfId="84" priority="81" operator="equal">
      <formula>"Orange"</formula>
    </cfRule>
    <cfRule type="cellIs" dxfId="83" priority="82" operator="equal">
      <formula>"Brown"</formula>
    </cfRule>
    <cfRule type="cellIs" dxfId="82" priority="83" operator="equal">
      <formula>"Red"</formula>
    </cfRule>
    <cfRule type="cellIs" dxfId="81" priority="84" operator="equal">
      <formula>"D Red"</formula>
    </cfRule>
  </conditionalFormatting>
  <conditionalFormatting sqref="I22:M23">
    <cfRule type="cellIs" dxfId="80" priority="55" operator="equal">
      <formula>"Green"</formula>
    </cfRule>
    <cfRule type="cellIs" dxfId="79" priority="56" operator="equal">
      <formula>"Yellow"</formula>
    </cfRule>
    <cfRule type="cellIs" dxfId="78" priority="57" operator="equal">
      <formula>"Orange"</formula>
    </cfRule>
    <cfRule type="cellIs" dxfId="77" priority="58" operator="equal">
      <formula>"Brown"</formula>
    </cfRule>
    <cfRule type="cellIs" dxfId="76" priority="59" operator="equal">
      <formula>"Red"</formula>
    </cfRule>
    <cfRule type="cellIs" dxfId="75" priority="60" operator="equal">
      <formula>"D Red"</formula>
    </cfRule>
  </conditionalFormatting>
  <conditionalFormatting sqref="I24:M26">
    <cfRule type="cellIs" dxfId="74" priority="68" operator="equal">
      <formula>"Green"</formula>
    </cfRule>
    <cfRule type="cellIs" dxfId="73" priority="69" operator="equal">
      <formula>"Yellow"</formula>
    </cfRule>
    <cfRule type="cellIs" dxfId="72" priority="70" operator="equal">
      <formula>"Orange"</formula>
    </cfRule>
    <cfRule type="cellIs" dxfId="71" priority="71" operator="equal">
      <formula>"Brown"</formula>
    </cfRule>
    <cfRule type="cellIs" dxfId="70" priority="72" operator="equal">
      <formula>"Red"</formula>
    </cfRule>
    <cfRule type="cellIs" dxfId="69" priority="73" operator="equal">
      <formula>"D Red"</formula>
    </cfRule>
  </conditionalFormatting>
  <conditionalFormatting sqref="I24:M26">
    <cfRule type="cellIs" dxfId="68" priority="67" operator="equal">
      <formula>"""AEB"""</formula>
    </cfRule>
    <cfRule type="cellIs" dxfId="67" priority="74" operator="equal">
      <formula>"Green"</formula>
    </cfRule>
    <cfRule type="cellIs" dxfId="66" priority="75" operator="equal">
      <formula>"Yellow"</formula>
    </cfRule>
    <cfRule type="cellIs" dxfId="65" priority="76" operator="equal">
      <formula>"Orange"</formula>
    </cfRule>
    <cfRule type="cellIs" dxfId="64" priority="77" operator="equal">
      <formula>"Brown"</formula>
    </cfRule>
    <cfRule type="cellIs" dxfId="63" priority="78" operator="equal">
      <formula>"Red"</formula>
    </cfRule>
  </conditionalFormatting>
  <conditionalFormatting sqref="K24:K26">
    <cfRule type="cellIs" dxfId="62" priority="61" operator="equal">
      <formula>"""AEB"""</formula>
    </cfRule>
    <cfRule type="cellIs" dxfId="61" priority="62" operator="equal">
      <formula>"Green"</formula>
    </cfRule>
    <cfRule type="cellIs" dxfId="60" priority="63" operator="equal">
      <formula>"Yellow"</formula>
    </cfRule>
    <cfRule type="cellIs" dxfId="59" priority="64" operator="equal">
      <formula>"Orange"</formula>
    </cfRule>
    <cfRule type="cellIs" dxfId="58" priority="65" operator="equal">
      <formula>"Brown"</formula>
    </cfRule>
    <cfRule type="cellIs" dxfId="57" priority="66" operator="equal">
      <formula>"Red"</formula>
    </cfRule>
  </conditionalFormatting>
  <conditionalFormatting sqref="I40:M46">
    <cfRule type="cellIs" dxfId="56" priority="49" operator="equal">
      <formula>"AEB"</formula>
    </cfRule>
    <cfRule type="cellIs" dxfId="55" priority="50" operator="equal">
      <formula>"Green"</formula>
    </cfRule>
    <cfRule type="cellIs" dxfId="54" priority="51" operator="equal">
      <formula>"Yellow"</formula>
    </cfRule>
    <cfRule type="cellIs" dxfId="53" priority="52" operator="equal">
      <formula>"Orange"</formula>
    </cfRule>
    <cfRule type="cellIs" dxfId="52" priority="53" operator="equal">
      <formula>"Brown"</formula>
    </cfRule>
    <cfRule type="cellIs" dxfId="51" priority="54" operator="equal">
      <formula>"Red"</formula>
    </cfRule>
  </conditionalFormatting>
  <conditionalFormatting sqref="D36:H46">
    <cfRule type="cellIs" dxfId="50" priority="43" operator="equal">
      <formula>"Green"</formula>
    </cfRule>
    <cfRule type="cellIs" dxfId="49" priority="44" operator="equal">
      <formula>"Yellow"</formula>
    </cfRule>
    <cfRule type="cellIs" dxfId="48" priority="45" operator="equal">
      <formula>"Orange"</formula>
    </cfRule>
    <cfRule type="cellIs" dxfId="47" priority="46" operator="equal">
      <formula>"Brown"</formula>
    </cfRule>
    <cfRule type="cellIs" dxfId="46" priority="47" operator="equal">
      <formula>"Red"</formula>
    </cfRule>
    <cfRule type="cellIs" dxfId="45" priority="48" operator="equal">
      <formula>"D Red"</formula>
    </cfRule>
  </conditionalFormatting>
  <conditionalFormatting sqref="H45:H46">
    <cfRule type="cellIs" dxfId="44" priority="37" operator="equal">
      <formula>"Green"</formula>
    </cfRule>
    <cfRule type="cellIs" dxfId="43" priority="38" operator="equal">
      <formula>"Yellow"</formula>
    </cfRule>
    <cfRule type="cellIs" dxfId="42" priority="39" operator="equal">
      <formula>"Orange"</formula>
    </cfRule>
    <cfRule type="cellIs" dxfId="41" priority="40" operator="equal">
      <formula>"Brown"</formula>
    </cfRule>
    <cfRule type="cellIs" dxfId="40" priority="41" operator="equal">
      <formula>"Red"</formula>
    </cfRule>
    <cfRule type="cellIs" dxfId="39" priority="42" operator="equal">
      <formula>"D Red"</formula>
    </cfRule>
  </conditionalFormatting>
  <conditionalFormatting sqref="H45:H46">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F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G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G46">
    <cfRule type="cellIs" dxfId="20" priority="13" operator="equal">
      <formula>"Green"</formula>
    </cfRule>
    <cfRule type="cellIs" dxfId="19" priority="14" operator="equal">
      <formula>"Yellow"</formula>
    </cfRule>
    <cfRule type="cellIs" dxfId="18" priority="15" operator="equal">
      <formula>"Orange"</formula>
    </cfRule>
    <cfRule type="cellIs" dxfId="17" priority="16" operator="equal">
      <formula>"Brown"</formula>
    </cfRule>
    <cfRule type="cellIs" dxfId="16" priority="17" operator="equal">
      <formula>"Red"</formula>
    </cfRule>
    <cfRule type="cellIs" dxfId="15" priority="18" operator="equal">
      <formula>"D Red"</formula>
    </cfRule>
  </conditionalFormatting>
  <conditionalFormatting sqref="F45:G45">
    <cfRule type="cellIs" dxfId="14" priority="7" operator="equal">
      <formula>"Green"</formula>
    </cfRule>
    <cfRule type="cellIs" dxfId="13" priority="8" operator="equal">
      <formula>"Yellow"</formula>
    </cfRule>
    <cfRule type="cellIs" dxfId="12" priority="9" operator="equal">
      <formula>"Orange"</formula>
    </cfRule>
    <cfRule type="cellIs" dxfId="11" priority="10" operator="equal">
      <formula>"Brown"</formula>
    </cfRule>
    <cfRule type="cellIs" dxfId="10" priority="11" operator="equal">
      <formula>"Red"</formula>
    </cfRule>
    <cfRule type="cellIs" dxfId="9" priority="12" operator="equal">
      <formula>"D Red"</formula>
    </cfRule>
  </conditionalFormatting>
  <conditionalFormatting sqref="D44:E46">
    <cfRule type="cellIs" dxfId="8" priority="1" operator="equal">
      <formula>"Green"</formula>
    </cfRule>
    <cfRule type="cellIs" dxfId="7" priority="2" operator="equal">
      <formula>"Yellow"</formula>
    </cfRule>
    <cfRule type="cellIs" dxfId="6" priority="3" operator="equal">
      <formula>"Orange"</formula>
    </cfRule>
    <cfRule type="cellIs" dxfId="5" priority="4" operator="equal">
      <formula>"Brown"</formula>
    </cfRule>
    <cfRule type="cellIs" dxfId="4" priority="5" operator="equal">
      <formula>"Red"</formula>
    </cfRule>
    <cfRule type="cellIs" dxfId="3" priority="6" operator="equal">
      <formula>"D Red"</formula>
    </cfRule>
  </conditionalFormatting>
  <dataValidations count="9">
    <dataValidation type="list" allowBlank="1" showInputMessage="1" showErrorMessage="1" sqref="I7:M7" xr:uid="{6C132AEB-5982-4173-A9DB-8F490DFC492B}">
      <formula1>"YES,YES with ESS function,NO"</formula1>
    </dataValidation>
    <dataValidation type="list" allowBlank="1" showInputMessage="1" showErrorMessage="1" sqref="F88:H90 D36:H37 D18:H20" xr:uid="{89119FBF-11E6-4E27-BD07-75334026FAF8}">
      <formula1>"Green,Red"</formula1>
    </dataValidation>
    <dataValidation allowBlank="1" showErrorMessage="1" sqref="D107:M108 D110:M110 D109" xr:uid="{AE9E56D7-3D2E-49B5-9031-EF8236DEDEE5}"/>
    <dataValidation type="list" allowBlank="1" showInputMessage="1" showErrorMessage="1" sqref="I55:J56 D55:E56 D52:E53 D24:H26 I24:M32 I52:J53 D42:M46" xr:uid="{1B50179B-6A10-4888-9609-765040F600D5}">
      <formula1>"Green,Yellow,Orange,Brown,Red"</formula1>
    </dataValidation>
    <dataValidation type="list" allowBlank="1" showInputMessage="1" showErrorMessage="1" sqref="D12:M13" xr:uid="{FD8AC71D-E117-4AFF-B2AB-622C3E15E8D7}">
      <formula1>"PASS,FAIL"</formula1>
    </dataValidation>
    <dataValidation type="list" allowBlank="1" showInputMessage="1" showErrorMessage="1" sqref="D95:E96 I14 D14 D7:H7 J61:J80" xr:uid="{1C57AD5C-E886-4658-8D33-1F6753CD0481}">
      <formula1>"YES,NO"</formula1>
    </dataValidation>
    <dataValidation type="list" allowBlank="1" showInputMessage="1" showErrorMessage="1" sqref="D21:H21 D38:H39" xr:uid="{3132EE70-3241-4063-BA05-956D86E2E4FF}">
      <formula1>"Green,Orange,Red"</formula1>
    </dataValidation>
    <dataValidation type="list" allowBlank="1" showInputMessage="1" showErrorMessage="1" sqref="D22:M23 D40:M41" xr:uid="{CB160A1D-4B42-452F-984D-2A64FE2B66B5}">
      <formula1>"Green,Yellow,Orange,Red"</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topLeftCell="A25" zoomScale="85" zoomScaleNormal="85" workbookViewId="0">
      <selection activeCell="S35" sqref="S35"/>
    </sheetView>
  </sheetViews>
  <sheetFormatPr defaultColWidth="8.6640625" defaultRowHeight="13.8"/>
  <cols>
    <col min="1" max="2" width="8.6640625" style="28"/>
    <col min="3" max="3" width="40.44140625" style="28" customWidth="1"/>
    <col min="4" max="15" width="5.6640625" style="28" customWidth="1"/>
    <col min="16" max="16" width="2" style="28" hidden="1" customWidth="1"/>
    <col min="17" max="16384" width="8.6640625" style="28"/>
  </cols>
  <sheetData>
    <row r="1" spans="1:18" ht="14.4" thickBot="1">
      <c r="A1" s="27">
        <v>3</v>
      </c>
    </row>
    <row r="2" spans="1:18" s="30" customFormat="1" ht="13.2" customHeight="1">
      <c r="B2" s="464" t="s">
        <v>129</v>
      </c>
      <c r="C2" s="465"/>
      <c r="D2" s="468"/>
      <c r="E2" s="472"/>
      <c r="F2" s="472"/>
      <c r="G2" s="472"/>
      <c r="H2" s="472"/>
      <c r="I2" s="472"/>
      <c r="J2" s="472"/>
      <c r="K2" s="472"/>
      <c r="L2" s="472"/>
      <c r="M2" s="472"/>
      <c r="N2" s="472"/>
      <c r="O2" s="473"/>
      <c r="R2" s="28"/>
    </row>
    <row r="3" spans="1:18" s="30" customFormat="1" ht="15" customHeight="1">
      <c r="B3" s="466"/>
      <c r="C3" s="467"/>
      <c r="D3" s="470"/>
      <c r="E3" s="474"/>
      <c r="F3" s="474"/>
      <c r="G3" s="474"/>
      <c r="H3" s="474"/>
      <c r="I3" s="474"/>
      <c r="J3" s="474"/>
      <c r="K3" s="474"/>
      <c r="L3" s="474"/>
      <c r="M3" s="474"/>
      <c r="N3" s="474"/>
      <c r="O3" s="475"/>
      <c r="R3" s="28"/>
    </row>
    <row r="4" spans="1:18" ht="15" customHeight="1" thickBot="1">
      <c r="B4" s="476"/>
      <c r="C4" s="477"/>
      <c r="D4" s="691"/>
      <c r="E4" s="692"/>
      <c r="F4" s="692"/>
      <c r="G4" s="692"/>
      <c r="H4" s="692"/>
      <c r="I4" s="692"/>
      <c r="J4" s="692"/>
      <c r="K4" s="692"/>
      <c r="L4" s="692"/>
      <c r="M4" s="692"/>
      <c r="N4" s="692"/>
      <c r="O4" s="693"/>
    </row>
    <row r="5" spans="1:18" s="29" customFormat="1" ht="15" customHeight="1">
      <c r="A5" s="28"/>
      <c r="B5" s="33" t="s">
        <v>29</v>
      </c>
      <c r="C5" s="64"/>
      <c r="D5" s="478"/>
      <c r="E5" s="479"/>
      <c r="F5" s="479"/>
      <c r="G5" s="479"/>
      <c r="H5" s="479"/>
      <c r="I5" s="479"/>
      <c r="J5" s="479"/>
      <c r="K5" s="479"/>
      <c r="L5" s="479"/>
      <c r="M5" s="479"/>
      <c r="N5" s="479"/>
      <c r="O5" s="480"/>
      <c r="R5" s="28"/>
    </row>
    <row r="6" spans="1:18" s="29" customFormat="1" ht="15" customHeight="1">
      <c r="A6" s="28"/>
      <c r="B6" s="31"/>
      <c r="C6" s="65" t="s">
        <v>105</v>
      </c>
      <c r="D6" s="490"/>
      <c r="E6" s="491"/>
      <c r="F6" s="491"/>
      <c r="G6" s="491"/>
      <c r="H6" s="491"/>
      <c r="I6" s="491"/>
      <c r="J6" s="491"/>
      <c r="K6" s="491"/>
      <c r="L6" s="491"/>
      <c r="M6" s="491"/>
      <c r="N6" s="491"/>
      <c r="O6" s="492"/>
      <c r="P6" s="29">
        <f>D6</f>
        <v>0</v>
      </c>
      <c r="R6" s="28"/>
    </row>
    <row r="7" spans="1:18" s="29" customFormat="1" ht="15" customHeight="1">
      <c r="A7" s="28"/>
      <c r="B7" s="31"/>
      <c r="C7" s="65" t="s">
        <v>130</v>
      </c>
      <c r="D7" s="490"/>
      <c r="E7" s="491"/>
      <c r="F7" s="491"/>
      <c r="G7" s="491"/>
      <c r="H7" s="491"/>
      <c r="I7" s="491"/>
      <c r="J7" s="491"/>
      <c r="K7" s="491"/>
      <c r="L7" s="491"/>
      <c r="M7" s="491"/>
      <c r="N7" s="491"/>
      <c r="O7" s="492"/>
      <c r="R7" s="28"/>
    </row>
    <row r="8" spans="1:18" s="29" customFormat="1" ht="15" customHeight="1">
      <c r="A8" s="28"/>
      <c r="B8" s="31"/>
      <c r="C8" s="65" t="s">
        <v>30</v>
      </c>
      <c r="D8" s="490"/>
      <c r="E8" s="491"/>
      <c r="F8" s="491"/>
      <c r="G8" s="491"/>
      <c r="H8" s="491"/>
      <c r="I8" s="491"/>
      <c r="J8" s="491"/>
      <c r="K8" s="491"/>
      <c r="L8" s="491"/>
      <c r="M8" s="491"/>
      <c r="N8" s="491"/>
      <c r="O8" s="492"/>
      <c r="R8" s="28"/>
    </row>
    <row r="9" spans="1:18" s="29" customFormat="1" ht="15" customHeight="1">
      <c r="A9" s="28"/>
      <c r="B9" s="31"/>
      <c r="C9" s="65" t="s">
        <v>47</v>
      </c>
      <c r="D9" s="685"/>
      <c r="E9" s="686"/>
      <c r="F9" s="686"/>
      <c r="G9" s="686"/>
      <c r="H9" s="686"/>
      <c r="I9" s="686"/>
      <c r="J9" s="686"/>
      <c r="K9" s="686"/>
      <c r="L9" s="686"/>
      <c r="M9" s="686"/>
      <c r="N9" s="686"/>
      <c r="O9" s="687"/>
      <c r="P9" s="29">
        <f>D9</f>
        <v>0</v>
      </c>
      <c r="R9" s="28"/>
    </row>
    <row r="10" spans="1:18" s="29" customFormat="1" ht="15" customHeight="1" thickBot="1">
      <c r="A10" s="28"/>
      <c r="B10" s="38"/>
      <c r="C10" s="66" t="s">
        <v>31</v>
      </c>
      <c r="D10" s="688"/>
      <c r="E10" s="689"/>
      <c r="F10" s="689"/>
      <c r="G10" s="689"/>
      <c r="H10" s="689"/>
      <c r="I10" s="689"/>
      <c r="J10" s="689"/>
      <c r="K10" s="689"/>
      <c r="L10" s="689"/>
      <c r="M10" s="689"/>
      <c r="N10" s="689"/>
      <c r="O10" s="690"/>
      <c r="P10" s="29">
        <f>D10</f>
        <v>0</v>
      </c>
      <c r="R10" s="28"/>
    </row>
    <row r="11" spans="1:18" s="29" customFormat="1" ht="15" customHeight="1" thickBot="1">
      <c r="A11" s="28"/>
      <c r="B11" s="547"/>
      <c r="C11" s="547"/>
      <c r="D11" s="547"/>
      <c r="E11" s="547"/>
      <c r="F11" s="547"/>
      <c r="G11" s="547"/>
      <c r="H11" s="547"/>
      <c r="I11" s="547"/>
      <c r="J11" s="547"/>
      <c r="K11" s="547"/>
      <c r="L11" s="547"/>
      <c r="M11" s="547"/>
      <c r="N11" s="547"/>
      <c r="O11" s="547"/>
      <c r="R11" s="28"/>
    </row>
    <row r="12" spans="1:18" s="29" customFormat="1" ht="15" customHeight="1">
      <c r="A12" s="28"/>
      <c r="B12" s="33" t="s">
        <v>70</v>
      </c>
      <c r="C12" s="34"/>
      <c r="D12" s="478"/>
      <c r="E12" s="479"/>
      <c r="F12" s="479"/>
      <c r="G12" s="479"/>
      <c r="H12" s="479"/>
      <c r="I12" s="479"/>
      <c r="J12" s="479"/>
      <c r="K12" s="479"/>
      <c r="L12" s="479"/>
      <c r="M12" s="479"/>
      <c r="N12" s="479"/>
      <c r="O12" s="480"/>
      <c r="R12" s="28"/>
    </row>
    <row r="13" spans="1:18" s="29" customFormat="1" ht="15" customHeight="1" thickBot="1">
      <c r="A13" s="28"/>
      <c r="B13" s="31"/>
      <c r="C13" s="32" t="s">
        <v>72</v>
      </c>
      <c r="D13" s="505" t="s">
        <v>771</v>
      </c>
      <c r="E13" s="507"/>
      <c r="F13" s="507"/>
      <c r="G13" s="507"/>
      <c r="H13" s="507"/>
      <c r="I13" s="507"/>
      <c r="J13" s="507"/>
      <c r="K13" s="507"/>
      <c r="L13" s="507"/>
      <c r="M13" s="507"/>
      <c r="N13" s="507"/>
      <c r="O13" s="508"/>
      <c r="R13" s="28"/>
    </row>
    <row r="14" spans="1:18" s="29" customFormat="1" ht="15" customHeight="1" thickBot="1">
      <c r="A14" s="28"/>
      <c r="B14" s="481" t="s">
        <v>70</v>
      </c>
      <c r="C14" s="482"/>
      <c r="D14" s="607" t="str">
        <f>IF(AND(D13="YES"),"PASS","FAIL")</f>
        <v>PASS</v>
      </c>
      <c r="E14" s="608"/>
      <c r="F14" s="608"/>
      <c r="G14" s="608"/>
      <c r="H14" s="608"/>
      <c r="I14" s="608"/>
      <c r="J14" s="608"/>
      <c r="K14" s="608"/>
      <c r="L14" s="608"/>
      <c r="M14" s="608"/>
      <c r="N14" s="608"/>
      <c r="O14" s="609"/>
      <c r="R14" s="28"/>
    </row>
    <row r="15" spans="1:18" s="29" customFormat="1" ht="15" customHeight="1" thickBot="1">
      <c r="A15" s="28"/>
      <c r="B15" s="547"/>
      <c r="C15" s="547"/>
      <c r="D15" s="547"/>
      <c r="E15" s="547"/>
      <c r="F15" s="547"/>
      <c r="G15" s="547"/>
      <c r="H15" s="547"/>
      <c r="I15" s="547"/>
      <c r="J15" s="547"/>
      <c r="K15" s="547"/>
      <c r="L15" s="547"/>
      <c r="M15" s="547"/>
      <c r="N15" s="547"/>
      <c r="O15" s="547"/>
      <c r="R15" s="28"/>
    </row>
    <row r="16" spans="1:18" s="29" customFormat="1" ht="15" customHeight="1">
      <c r="A16" s="28"/>
      <c r="B16" s="33" t="s">
        <v>131</v>
      </c>
      <c r="C16" s="34"/>
      <c r="D16" s="478"/>
      <c r="E16" s="479"/>
      <c r="F16" s="479"/>
      <c r="G16" s="479"/>
      <c r="H16" s="479"/>
      <c r="I16" s="479"/>
      <c r="J16" s="479"/>
      <c r="K16" s="479"/>
      <c r="L16" s="479"/>
      <c r="M16" s="479"/>
      <c r="N16" s="479"/>
      <c r="O16" s="480"/>
      <c r="R16" s="28"/>
    </row>
    <row r="17" spans="1:18" s="29" customFormat="1" ht="15" customHeight="1">
      <c r="A17" s="28"/>
      <c r="B17" s="31"/>
      <c r="C17" s="35" t="s">
        <v>132</v>
      </c>
      <c r="D17" s="699" t="s">
        <v>133</v>
      </c>
      <c r="E17" s="700"/>
      <c r="F17" s="701"/>
      <c r="G17" s="702" t="s">
        <v>707</v>
      </c>
      <c r="H17" s="700"/>
      <c r="I17" s="701"/>
      <c r="J17" s="702" t="s">
        <v>708</v>
      </c>
      <c r="K17" s="700"/>
      <c r="L17" s="701"/>
      <c r="M17" s="700" t="s">
        <v>709</v>
      </c>
      <c r="N17" s="700"/>
      <c r="O17" s="703"/>
      <c r="R17" s="28"/>
    </row>
    <row r="18" spans="1:18" s="29" customFormat="1" ht="15" customHeight="1">
      <c r="A18" s="28"/>
      <c r="B18" s="69"/>
      <c r="C18" s="59">
        <v>0.2</v>
      </c>
      <c r="D18" s="694" t="s">
        <v>779</v>
      </c>
      <c r="E18" s="695"/>
      <c r="F18" s="696"/>
      <c r="G18" s="697">
        <v>0.26</v>
      </c>
      <c r="H18" s="695"/>
      <c r="I18" s="696"/>
      <c r="J18" s="697">
        <v>0.4</v>
      </c>
      <c r="K18" s="695"/>
      <c r="L18" s="696"/>
      <c r="M18" s="695">
        <v>0.44</v>
      </c>
      <c r="N18" s="695"/>
      <c r="O18" s="698"/>
      <c r="Q18" s="61"/>
      <c r="R18" s="28"/>
    </row>
    <row r="19" spans="1:18" s="29" customFormat="1" ht="15" customHeight="1">
      <c r="A19" s="28"/>
      <c r="B19" s="69"/>
      <c r="C19" s="59">
        <v>0.3</v>
      </c>
      <c r="D19" s="694" t="s">
        <v>780</v>
      </c>
      <c r="E19" s="695"/>
      <c r="F19" s="696"/>
      <c r="G19" s="697">
        <v>0.21</v>
      </c>
      <c r="H19" s="695"/>
      <c r="I19" s="696"/>
      <c r="J19" s="697">
        <v>0.34</v>
      </c>
      <c r="K19" s="695"/>
      <c r="L19" s="696"/>
      <c r="M19" s="695">
        <v>0.34</v>
      </c>
      <c r="N19" s="695"/>
      <c r="O19" s="698"/>
      <c r="R19" s="28"/>
    </row>
    <row r="20" spans="1:18" s="29" customFormat="1" ht="15" customHeight="1">
      <c r="A20" s="28"/>
      <c r="B20" s="69"/>
      <c r="C20" s="59">
        <v>0.4</v>
      </c>
      <c r="D20" s="694" t="s">
        <v>781</v>
      </c>
      <c r="E20" s="695"/>
      <c r="F20" s="696"/>
      <c r="G20" s="697">
        <v>0.19</v>
      </c>
      <c r="H20" s="695"/>
      <c r="I20" s="696"/>
      <c r="J20" s="697">
        <v>0.36</v>
      </c>
      <c r="K20" s="695"/>
      <c r="L20" s="696"/>
      <c r="M20" s="695">
        <v>0.46</v>
      </c>
      <c r="N20" s="695"/>
      <c r="O20" s="698"/>
      <c r="R20" s="28"/>
    </row>
    <row r="21" spans="1:18" s="29" customFormat="1" ht="15" customHeight="1" thickBot="1">
      <c r="A21" s="28"/>
      <c r="B21" s="69"/>
      <c r="C21" s="59">
        <v>0.5</v>
      </c>
      <c r="D21" s="709">
        <v>2022</v>
      </c>
      <c r="E21" s="710"/>
      <c r="F21" s="711"/>
      <c r="G21" s="712">
        <v>0.28000000000000003</v>
      </c>
      <c r="H21" s="713"/>
      <c r="I21" s="714"/>
      <c r="J21" s="712">
        <v>0.43</v>
      </c>
      <c r="K21" s="713"/>
      <c r="L21" s="714"/>
      <c r="M21" s="713">
        <v>0.43</v>
      </c>
      <c r="N21" s="713"/>
      <c r="O21" s="715"/>
      <c r="R21" s="28"/>
    </row>
    <row r="22" spans="1:18" s="29" customFormat="1" ht="15" customHeight="1" thickBot="1">
      <c r="A22" s="28"/>
      <c r="B22" s="69"/>
      <c r="C22" s="59"/>
      <c r="D22" s="720">
        <f>IF(OR(COUNTIF(D18:F21,"&gt;=-0.1")=4,COUNTIF(D18:F21,"&gt;=-0,1")=4),0.25,0)</f>
        <v>0</v>
      </c>
      <c r="E22" s="721"/>
      <c r="F22" s="722"/>
      <c r="G22" s="723">
        <f>IF(OR(COUNTIF(G18:I21,"&gt;=-0.1")=4,COUNTIF(G18:I21,"&gt;=-0,1")=4),0.25,0)</f>
        <v>0.25</v>
      </c>
      <c r="H22" s="721"/>
      <c r="I22" s="722"/>
      <c r="J22" s="723">
        <f>IF(OR(COUNTIF(J18:L21,"&gt;=-0.1")=4,COUNTIF(J18:L21,"&gt;=-0,1")=4),0.25,0)</f>
        <v>0.25</v>
      </c>
      <c r="K22" s="721"/>
      <c r="L22" s="722"/>
      <c r="M22" s="721">
        <f>IF(OR(COUNTIF(M18:O21,"&gt;=-0.1")=4,COUNTIF(M18:O21,"&gt;=-0,1")=4),0.25,0)</f>
        <v>0.25</v>
      </c>
      <c r="N22" s="721"/>
      <c r="O22" s="724"/>
      <c r="R22" s="28"/>
    </row>
    <row r="23" spans="1:18" s="1" customFormat="1" ht="15" customHeight="1" thickBot="1">
      <c r="B23" s="704" t="s">
        <v>134</v>
      </c>
      <c r="C23" s="705"/>
      <c r="D23" s="706">
        <f>SUM(D22:O22)</f>
        <v>0.75</v>
      </c>
      <c r="E23" s="707"/>
      <c r="F23" s="707"/>
      <c r="G23" s="707"/>
      <c r="H23" s="707"/>
      <c r="I23" s="707"/>
      <c r="J23" s="707"/>
      <c r="K23" s="707"/>
      <c r="L23" s="707"/>
      <c r="M23" s="707"/>
      <c r="N23" s="707"/>
      <c r="O23" s="708"/>
      <c r="R23" s="28"/>
    </row>
    <row r="24" spans="1:18" s="29" customFormat="1" ht="15" customHeight="1">
      <c r="A24" s="28"/>
      <c r="B24" s="33"/>
      <c r="C24" s="370" t="s">
        <v>145</v>
      </c>
      <c r="D24" s="716" t="s">
        <v>142</v>
      </c>
      <c r="E24" s="717"/>
      <c r="F24" s="717"/>
      <c r="G24" s="717"/>
      <c r="H24" s="717"/>
      <c r="I24" s="718"/>
      <c r="J24" s="717" t="s">
        <v>143</v>
      </c>
      <c r="K24" s="717"/>
      <c r="L24" s="717"/>
      <c r="M24" s="717"/>
      <c r="N24" s="717"/>
      <c r="O24" s="719"/>
      <c r="R24" s="28"/>
    </row>
    <row r="25" spans="1:18" s="29" customFormat="1" ht="15" customHeight="1">
      <c r="A25" s="28"/>
      <c r="B25" s="69"/>
      <c r="C25" s="245">
        <v>0.2</v>
      </c>
      <c r="D25" s="694"/>
      <c r="E25" s="695"/>
      <c r="F25" s="695"/>
      <c r="G25" s="695"/>
      <c r="H25" s="695"/>
      <c r="I25" s="696"/>
      <c r="J25" s="695"/>
      <c r="K25" s="695"/>
      <c r="L25" s="695"/>
      <c r="M25" s="695"/>
      <c r="N25" s="695"/>
      <c r="O25" s="698"/>
      <c r="Q25" s="246"/>
      <c r="R25" s="28"/>
    </row>
    <row r="26" spans="1:18" s="29" customFormat="1" ht="15" customHeight="1">
      <c r="A26" s="28"/>
      <c r="B26" s="69"/>
      <c r="C26" s="245">
        <v>0.3</v>
      </c>
      <c r="D26" s="694"/>
      <c r="E26" s="695"/>
      <c r="F26" s="695"/>
      <c r="G26" s="695"/>
      <c r="H26" s="695"/>
      <c r="I26" s="696"/>
      <c r="J26" s="695"/>
      <c r="K26" s="695"/>
      <c r="L26" s="695"/>
      <c r="M26" s="695"/>
      <c r="N26" s="695"/>
      <c r="O26" s="698"/>
      <c r="Q26" s="365"/>
      <c r="R26" s="28"/>
    </row>
    <row r="27" spans="1:18" s="29" customFormat="1" ht="15" customHeight="1">
      <c r="A27" s="28"/>
      <c r="B27" s="69"/>
      <c r="C27" s="245">
        <v>0.4</v>
      </c>
      <c r="D27" s="694"/>
      <c r="E27" s="695"/>
      <c r="F27" s="695"/>
      <c r="G27" s="695"/>
      <c r="H27" s="695"/>
      <c r="I27" s="696"/>
      <c r="J27" s="695"/>
      <c r="K27" s="695"/>
      <c r="L27" s="695"/>
      <c r="M27" s="695"/>
      <c r="N27" s="695"/>
      <c r="O27" s="698"/>
      <c r="R27" s="28"/>
    </row>
    <row r="28" spans="1:18" s="29" customFormat="1" ht="15" customHeight="1" thickBot="1">
      <c r="A28" s="28"/>
      <c r="B28" s="247"/>
      <c r="C28" s="248">
        <v>0.5</v>
      </c>
      <c r="D28" s="725"/>
      <c r="E28" s="713"/>
      <c r="F28" s="713"/>
      <c r="G28" s="713"/>
      <c r="H28" s="713"/>
      <c r="I28" s="714"/>
      <c r="J28" s="695"/>
      <c r="K28" s="695"/>
      <c r="L28" s="695"/>
      <c r="M28" s="695"/>
      <c r="N28" s="695"/>
      <c r="O28" s="698"/>
      <c r="R28" s="28"/>
    </row>
    <row r="29" spans="1:18" s="1" customFormat="1" ht="15" customHeight="1" thickBot="1">
      <c r="B29" s="704" t="s">
        <v>710</v>
      </c>
      <c r="C29" s="705"/>
      <c r="D29" s="706">
        <f>IF(OR(COUNTIF(D25:O28,"&gt;=-0.3")=8,COUNTIF(D25:O28,"&gt;=-0,3")=8),0.5,0)</f>
        <v>0</v>
      </c>
      <c r="E29" s="707"/>
      <c r="F29" s="707"/>
      <c r="G29" s="707"/>
      <c r="H29" s="707"/>
      <c r="I29" s="707"/>
      <c r="J29" s="707"/>
      <c r="K29" s="707"/>
      <c r="L29" s="707"/>
      <c r="M29" s="707"/>
      <c r="N29" s="707"/>
      <c r="O29" s="708"/>
      <c r="R29" s="28"/>
    </row>
    <row r="30" spans="1:18" s="29" customFormat="1" ht="15" customHeight="1">
      <c r="A30" s="28"/>
      <c r="B30" s="31"/>
      <c r="C30" s="35" t="s">
        <v>135</v>
      </c>
      <c r="D30" s="478"/>
      <c r="E30" s="479"/>
      <c r="F30" s="479"/>
      <c r="G30" s="479"/>
      <c r="H30" s="479"/>
      <c r="I30" s="479"/>
      <c r="J30" s="479"/>
      <c r="K30" s="479"/>
      <c r="L30" s="479"/>
      <c r="M30" s="479"/>
      <c r="N30" s="479"/>
      <c r="O30" s="480"/>
      <c r="R30" s="28"/>
    </row>
    <row r="31" spans="1:18" s="29" customFormat="1" ht="15" customHeight="1">
      <c r="A31" s="28"/>
      <c r="B31" s="69"/>
      <c r="C31" s="59">
        <v>0.3</v>
      </c>
      <c r="D31" s="490" t="s">
        <v>772</v>
      </c>
      <c r="E31" s="491"/>
      <c r="F31" s="491"/>
      <c r="G31" s="491"/>
      <c r="H31" s="491"/>
      <c r="I31" s="491"/>
      <c r="J31" s="491"/>
      <c r="K31" s="491"/>
      <c r="L31" s="491"/>
      <c r="M31" s="491"/>
      <c r="N31" s="491"/>
      <c r="O31" s="492"/>
      <c r="Q31" s="61"/>
      <c r="R31" s="28"/>
    </row>
    <row r="32" spans="1:18" s="29" customFormat="1" ht="15" customHeight="1">
      <c r="A32" s="28"/>
      <c r="B32" s="69"/>
      <c r="C32" s="59">
        <v>0.4</v>
      </c>
      <c r="D32" s="490" t="s">
        <v>772</v>
      </c>
      <c r="E32" s="491"/>
      <c r="F32" s="491"/>
      <c r="G32" s="491"/>
      <c r="H32" s="491"/>
      <c r="I32" s="491"/>
      <c r="J32" s="491"/>
      <c r="K32" s="491"/>
      <c r="L32" s="491"/>
      <c r="M32" s="491"/>
      <c r="N32" s="491"/>
      <c r="O32" s="492"/>
      <c r="R32" s="28"/>
    </row>
    <row r="33" spans="1:18" s="29" customFormat="1" ht="15" customHeight="1">
      <c r="A33" s="28"/>
      <c r="B33" s="69"/>
      <c r="C33" s="59">
        <v>0.5</v>
      </c>
      <c r="D33" s="490" t="s">
        <v>772</v>
      </c>
      <c r="E33" s="491"/>
      <c r="F33" s="491"/>
      <c r="G33" s="491"/>
      <c r="H33" s="491"/>
      <c r="I33" s="491"/>
      <c r="J33" s="491"/>
      <c r="K33" s="491"/>
      <c r="L33" s="491"/>
      <c r="M33" s="491"/>
      <c r="N33" s="491"/>
      <c r="O33" s="492"/>
      <c r="R33" s="28"/>
    </row>
    <row r="34" spans="1:18" s="29" customFormat="1" ht="15" customHeight="1" thickBot="1">
      <c r="A34" s="28"/>
      <c r="B34" s="69"/>
      <c r="C34" s="59">
        <v>0.6</v>
      </c>
      <c r="D34" s="490" t="s">
        <v>772</v>
      </c>
      <c r="E34" s="491"/>
      <c r="F34" s="491"/>
      <c r="G34" s="491"/>
      <c r="H34" s="491"/>
      <c r="I34" s="491"/>
      <c r="J34" s="491"/>
      <c r="K34" s="491"/>
      <c r="L34" s="491"/>
      <c r="M34" s="491"/>
      <c r="N34" s="491"/>
      <c r="O34" s="492"/>
      <c r="R34" s="28"/>
    </row>
    <row r="35" spans="1:18" s="1" customFormat="1" ht="15" customHeight="1" thickBot="1">
      <c r="B35" s="704" t="s">
        <v>136</v>
      </c>
      <c r="C35" s="705"/>
      <c r="D35" s="706">
        <f>IF(COUNTIF(D31:O34,"PASS")=4,1,0)</f>
        <v>1</v>
      </c>
      <c r="E35" s="707"/>
      <c r="F35" s="707"/>
      <c r="G35" s="707"/>
      <c r="H35" s="707"/>
      <c r="I35" s="707"/>
      <c r="J35" s="707"/>
      <c r="K35" s="707"/>
      <c r="L35" s="707"/>
      <c r="M35" s="707"/>
      <c r="N35" s="707"/>
      <c r="O35" s="708"/>
      <c r="R35" s="28"/>
    </row>
    <row r="36" spans="1:18" s="29" customFormat="1" ht="15" customHeight="1">
      <c r="A36" s="28"/>
      <c r="B36" s="31"/>
      <c r="C36" s="35" t="s">
        <v>160</v>
      </c>
      <c r="D36" s="499" t="s">
        <v>137</v>
      </c>
      <c r="E36" s="501"/>
      <c r="F36" s="501"/>
      <c r="G36" s="501"/>
      <c r="H36" s="501"/>
      <c r="I36" s="500"/>
      <c r="J36" s="729" t="s">
        <v>138</v>
      </c>
      <c r="K36" s="729"/>
      <c r="L36" s="729"/>
      <c r="M36" s="729"/>
      <c r="N36" s="729"/>
      <c r="O36" s="730"/>
      <c r="R36" s="28"/>
    </row>
    <row r="37" spans="1:18" s="29" customFormat="1" ht="15" customHeight="1">
      <c r="A37" s="28"/>
      <c r="B37" s="69"/>
      <c r="C37" s="59">
        <v>0.3</v>
      </c>
      <c r="D37" s="490"/>
      <c r="E37" s="491"/>
      <c r="F37" s="491"/>
      <c r="G37" s="491"/>
      <c r="H37" s="491"/>
      <c r="I37" s="504"/>
      <c r="J37" s="727"/>
      <c r="K37" s="727"/>
      <c r="L37" s="727"/>
      <c r="M37" s="727"/>
      <c r="N37" s="727"/>
      <c r="O37" s="731"/>
      <c r="Q37" s="61"/>
      <c r="R37" s="28"/>
    </row>
    <row r="38" spans="1:18" s="29" customFormat="1" ht="15" customHeight="1">
      <c r="A38" s="28"/>
      <c r="B38" s="69"/>
      <c r="C38" s="59">
        <v>0.4</v>
      </c>
      <c r="D38" s="490"/>
      <c r="E38" s="491"/>
      <c r="F38" s="491"/>
      <c r="G38" s="491"/>
      <c r="H38" s="491"/>
      <c r="I38" s="504"/>
      <c r="J38" s="727"/>
      <c r="K38" s="727"/>
      <c r="L38" s="727"/>
      <c r="M38" s="727"/>
      <c r="N38" s="727"/>
      <c r="O38" s="731"/>
      <c r="R38" s="28"/>
    </row>
    <row r="39" spans="1:18" s="29" customFormat="1" ht="15" customHeight="1">
      <c r="A39" s="28"/>
      <c r="B39" s="69"/>
      <c r="C39" s="59">
        <v>0.5</v>
      </c>
      <c r="D39" s="490"/>
      <c r="E39" s="491"/>
      <c r="F39" s="491"/>
      <c r="G39" s="491"/>
      <c r="H39" s="491"/>
      <c r="I39" s="504"/>
      <c r="J39" s="491"/>
      <c r="K39" s="491"/>
      <c r="L39" s="491"/>
      <c r="M39" s="491"/>
      <c r="N39" s="491"/>
      <c r="O39" s="492"/>
      <c r="R39" s="28"/>
    </row>
    <row r="40" spans="1:18" s="29" customFormat="1" ht="15" customHeight="1">
      <c r="A40" s="28"/>
      <c r="B40" s="69"/>
      <c r="C40" s="59">
        <v>0.6</v>
      </c>
      <c r="D40" s="490"/>
      <c r="E40" s="491"/>
      <c r="F40" s="491"/>
      <c r="G40" s="491"/>
      <c r="H40" s="491"/>
      <c r="I40" s="504"/>
      <c r="J40" s="491"/>
      <c r="K40" s="491"/>
      <c r="L40" s="491"/>
      <c r="M40" s="491"/>
      <c r="N40" s="491"/>
      <c r="O40" s="492"/>
      <c r="R40" s="28"/>
    </row>
    <row r="41" spans="1:18" s="29" customFormat="1" ht="15" customHeight="1">
      <c r="A41" s="28"/>
      <c r="B41" s="69"/>
      <c r="C41" s="59">
        <v>0.7</v>
      </c>
      <c r="D41" s="726"/>
      <c r="E41" s="727"/>
      <c r="F41" s="727"/>
      <c r="G41" s="727"/>
      <c r="H41" s="727"/>
      <c r="I41" s="728"/>
      <c r="J41" s="491"/>
      <c r="K41" s="491"/>
      <c r="L41" s="491"/>
      <c r="M41" s="491"/>
      <c r="N41" s="491"/>
      <c r="O41" s="492"/>
      <c r="R41" s="28"/>
    </row>
    <row r="42" spans="1:18" s="29" customFormat="1" ht="15" customHeight="1">
      <c r="A42" s="28"/>
      <c r="B42" s="31"/>
      <c r="C42" s="35" t="s">
        <v>161</v>
      </c>
      <c r="D42" s="735"/>
      <c r="E42" s="736"/>
      <c r="F42" s="736"/>
      <c r="G42" s="736"/>
      <c r="H42" s="736"/>
      <c r="I42" s="737"/>
      <c r="J42" s="727"/>
      <c r="K42" s="727"/>
      <c r="L42" s="727"/>
      <c r="M42" s="727"/>
      <c r="N42" s="727"/>
      <c r="O42" s="731"/>
      <c r="R42" s="28"/>
    </row>
    <row r="43" spans="1:18" s="29" customFormat="1" ht="15" customHeight="1">
      <c r="A43" s="28"/>
      <c r="B43" s="69"/>
      <c r="C43" s="59">
        <v>0.3</v>
      </c>
      <c r="D43" s="490"/>
      <c r="E43" s="491"/>
      <c r="F43" s="491"/>
      <c r="G43" s="491"/>
      <c r="H43" s="491"/>
      <c r="I43" s="504"/>
      <c r="J43" s="727"/>
      <c r="K43" s="727"/>
      <c r="L43" s="727"/>
      <c r="M43" s="727"/>
      <c r="N43" s="727"/>
      <c r="O43" s="731"/>
      <c r="R43" s="28"/>
    </row>
    <row r="44" spans="1:18" s="29" customFormat="1" ht="15" customHeight="1">
      <c r="A44" s="28"/>
      <c r="B44" s="69"/>
      <c r="C44" s="59">
        <v>0.4</v>
      </c>
      <c r="D44" s="490"/>
      <c r="E44" s="491"/>
      <c r="F44" s="491"/>
      <c r="G44" s="491"/>
      <c r="H44" s="491"/>
      <c r="I44" s="504"/>
      <c r="J44" s="727"/>
      <c r="K44" s="727"/>
      <c r="L44" s="727"/>
      <c r="M44" s="727"/>
      <c r="N44" s="727"/>
      <c r="O44" s="731"/>
      <c r="R44" s="28"/>
    </row>
    <row r="45" spans="1:18" s="29" customFormat="1" ht="15" customHeight="1">
      <c r="A45" s="28"/>
      <c r="B45" s="69"/>
      <c r="C45" s="59">
        <v>0.5</v>
      </c>
      <c r="D45" s="490"/>
      <c r="E45" s="491"/>
      <c r="F45" s="491"/>
      <c r="G45" s="491"/>
      <c r="H45" s="491"/>
      <c r="I45" s="504"/>
      <c r="J45" s="491"/>
      <c r="K45" s="491"/>
      <c r="L45" s="491"/>
      <c r="M45" s="491"/>
      <c r="N45" s="491"/>
      <c r="O45" s="492"/>
      <c r="R45" s="28"/>
    </row>
    <row r="46" spans="1:18" s="29" customFormat="1" ht="15" customHeight="1">
      <c r="A46" s="28"/>
      <c r="B46" s="69"/>
      <c r="C46" s="59">
        <v>0.6</v>
      </c>
      <c r="D46" s="490"/>
      <c r="E46" s="491"/>
      <c r="F46" s="491"/>
      <c r="G46" s="491"/>
      <c r="H46" s="491"/>
      <c r="I46" s="504"/>
      <c r="J46" s="491"/>
      <c r="K46" s="491"/>
      <c r="L46" s="491"/>
      <c r="M46" s="491"/>
      <c r="N46" s="491"/>
      <c r="O46" s="492"/>
      <c r="R46" s="28"/>
    </row>
    <row r="47" spans="1:18" s="29" customFormat="1" ht="15" customHeight="1" thickBot="1">
      <c r="A47" s="28"/>
      <c r="B47" s="69"/>
      <c r="C47" s="59">
        <v>0.7</v>
      </c>
      <c r="D47" s="732"/>
      <c r="E47" s="733"/>
      <c r="F47" s="733"/>
      <c r="G47" s="733"/>
      <c r="H47" s="733"/>
      <c r="I47" s="734"/>
      <c r="J47" s="491"/>
      <c r="K47" s="491"/>
      <c r="L47" s="491"/>
      <c r="M47" s="491"/>
      <c r="N47" s="491"/>
      <c r="O47" s="492"/>
      <c r="R47" s="28"/>
    </row>
    <row r="48" spans="1:18" s="1" customFormat="1" ht="15" customHeight="1" thickBot="1">
      <c r="B48" s="704" t="s">
        <v>139</v>
      </c>
      <c r="C48" s="705"/>
      <c r="D48" s="706">
        <f>IF(COUNTIF(D37:O47,"PASS")=14,0.5,0)</f>
        <v>0</v>
      </c>
      <c r="E48" s="707"/>
      <c r="F48" s="707"/>
      <c r="G48" s="707"/>
      <c r="H48" s="707"/>
      <c r="I48" s="707"/>
      <c r="J48" s="707"/>
      <c r="K48" s="707"/>
      <c r="L48" s="707"/>
      <c r="M48" s="707"/>
      <c r="N48" s="707"/>
      <c r="O48" s="708"/>
      <c r="R48" s="28"/>
    </row>
    <row r="49" spans="1:18" s="1" customFormat="1" ht="15" customHeight="1" thickBot="1">
      <c r="B49" s="742"/>
      <c r="C49" s="743"/>
      <c r="D49" s="743"/>
      <c r="E49" s="743"/>
      <c r="F49" s="743"/>
      <c r="G49" s="743"/>
      <c r="H49" s="743"/>
      <c r="I49" s="743"/>
      <c r="J49" s="743"/>
      <c r="K49" s="743"/>
      <c r="L49" s="743"/>
      <c r="M49" s="743"/>
      <c r="N49" s="743"/>
      <c r="O49" s="744"/>
      <c r="R49" s="28"/>
    </row>
    <row r="50" spans="1:18" s="29" customFormat="1" ht="15" customHeight="1" thickBot="1">
      <c r="A50" s="28"/>
      <c r="B50" s="511" t="s">
        <v>140</v>
      </c>
      <c r="C50" s="512"/>
      <c r="D50" s="513">
        <f>SUM(D23,D29,D35,D48)</f>
        <v>1.75</v>
      </c>
      <c r="E50" s="515"/>
      <c r="F50" s="515"/>
      <c r="G50" s="515"/>
      <c r="H50" s="515"/>
      <c r="I50" s="515"/>
      <c r="J50" s="515"/>
      <c r="K50" s="515"/>
      <c r="L50" s="515"/>
      <c r="M50" s="515"/>
      <c r="N50" s="515"/>
      <c r="O50" s="516"/>
      <c r="Q50" s="262"/>
      <c r="R50" s="28"/>
    </row>
    <row r="51" spans="1:18" s="29" customFormat="1" ht="15" customHeight="1" thickBot="1">
      <c r="A51" s="28"/>
      <c r="B51" s="547"/>
      <c r="C51" s="547"/>
      <c r="D51" s="547"/>
      <c r="E51" s="547"/>
      <c r="F51" s="547"/>
      <c r="G51" s="547"/>
      <c r="H51" s="547"/>
      <c r="I51" s="547"/>
      <c r="J51" s="547"/>
      <c r="K51" s="547"/>
      <c r="L51" s="547"/>
      <c r="M51" s="547"/>
      <c r="N51" s="547"/>
      <c r="O51" s="547"/>
      <c r="R51" s="28"/>
    </row>
    <row r="52" spans="1:18" s="29" customFormat="1" ht="15" customHeight="1">
      <c r="A52" s="28"/>
      <c r="B52" s="33" t="s">
        <v>141</v>
      </c>
      <c r="C52" s="34"/>
      <c r="D52" s="738" t="s">
        <v>144</v>
      </c>
      <c r="E52" s="739"/>
      <c r="F52" s="739"/>
      <c r="G52" s="739"/>
      <c r="H52" s="739"/>
      <c r="I52" s="740"/>
      <c r="J52" s="739" t="s">
        <v>145</v>
      </c>
      <c r="K52" s="739"/>
      <c r="L52" s="739"/>
      <c r="M52" s="739"/>
      <c r="N52" s="739"/>
      <c r="O52" s="741"/>
      <c r="Q52" s="61"/>
      <c r="R52" s="28"/>
    </row>
    <row r="53" spans="1:18" s="29" customFormat="1" ht="15" customHeight="1">
      <c r="A53" s="28"/>
      <c r="B53" s="31"/>
      <c r="C53" s="35"/>
      <c r="D53" s="699" t="s">
        <v>142</v>
      </c>
      <c r="E53" s="700"/>
      <c r="F53" s="701"/>
      <c r="G53" s="700" t="s">
        <v>143</v>
      </c>
      <c r="H53" s="700"/>
      <c r="I53" s="701"/>
      <c r="J53" s="700" t="s">
        <v>142</v>
      </c>
      <c r="K53" s="700"/>
      <c r="L53" s="701"/>
      <c r="M53" s="702" t="s">
        <v>143</v>
      </c>
      <c r="N53" s="700"/>
      <c r="O53" s="703"/>
      <c r="R53" s="28"/>
    </row>
    <row r="54" spans="1:18" s="29" customFormat="1" ht="15" customHeight="1">
      <c r="A54" s="28"/>
      <c r="B54" s="69"/>
      <c r="C54" s="59">
        <v>0.2</v>
      </c>
      <c r="D54" s="694">
        <v>0.09</v>
      </c>
      <c r="E54" s="695"/>
      <c r="F54" s="696"/>
      <c r="G54" s="695">
        <v>0.01</v>
      </c>
      <c r="H54" s="695"/>
      <c r="I54" s="696"/>
      <c r="J54" s="695">
        <v>0</v>
      </c>
      <c r="K54" s="695"/>
      <c r="L54" s="696"/>
      <c r="M54" s="697">
        <v>0.12</v>
      </c>
      <c r="N54" s="695"/>
      <c r="O54" s="698"/>
      <c r="R54" s="28"/>
    </row>
    <row r="55" spans="1:18" s="29" customFormat="1" ht="15" customHeight="1">
      <c r="A55" s="28"/>
      <c r="B55" s="69"/>
      <c r="C55" s="59">
        <v>0.3</v>
      </c>
      <c r="D55" s="694">
        <v>0.05</v>
      </c>
      <c r="E55" s="695"/>
      <c r="F55" s="696"/>
      <c r="G55" s="695">
        <v>0.02</v>
      </c>
      <c r="H55" s="695"/>
      <c r="I55" s="696"/>
      <c r="J55" s="695">
        <v>0.03</v>
      </c>
      <c r="K55" s="695"/>
      <c r="L55" s="696"/>
      <c r="M55" s="697">
        <v>0.13</v>
      </c>
      <c r="N55" s="695"/>
      <c r="O55" s="698"/>
      <c r="R55" s="28"/>
    </row>
    <row r="56" spans="1:18" s="29" customFormat="1" ht="15" customHeight="1">
      <c r="A56" s="28"/>
      <c r="B56" s="69"/>
      <c r="C56" s="59">
        <v>0.4</v>
      </c>
      <c r="D56" s="694">
        <v>0.17</v>
      </c>
      <c r="E56" s="695"/>
      <c r="F56" s="696"/>
      <c r="G56" s="695">
        <v>0.08</v>
      </c>
      <c r="H56" s="695"/>
      <c r="I56" s="696"/>
      <c r="J56" s="695">
        <v>0.09</v>
      </c>
      <c r="K56" s="695"/>
      <c r="L56" s="696"/>
      <c r="M56" s="697">
        <v>0.18</v>
      </c>
      <c r="N56" s="695"/>
      <c r="O56" s="698"/>
      <c r="R56" s="28"/>
    </row>
    <row r="57" spans="1:18" s="29" customFormat="1" ht="15" customHeight="1" thickBot="1">
      <c r="A57" s="28"/>
      <c r="B57" s="31"/>
      <c r="C57" s="59">
        <v>0.5</v>
      </c>
      <c r="D57" s="725">
        <v>0.12</v>
      </c>
      <c r="E57" s="713"/>
      <c r="F57" s="714"/>
      <c r="G57" s="713">
        <v>0.11</v>
      </c>
      <c r="H57" s="713"/>
      <c r="I57" s="714"/>
      <c r="J57" s="713">
        <v>0.03</v>
      </c>
      <c r="K57" s="713"/>
      <c r="L57" s="714"/>
      <c r="M57" s="712">
        <v>0.21</v>
      </c>
      <c r="N57" s="713"/>
      <c r="O57" s="715"/>
      <c r="R57" s="28"/>
    </row>
    <row r="58" spans="1:18" s="1" customFormat="1" ht="15" customHeight="1" thickBot="1">
      <c r="B58" s="704" t="s">
        <v>711</v>
      </c>
      <c r="C58" s="705"/>
      <c r="D58" s="706">
        <f>IF(OR(COUNTIF(D54:I57,"&gt;=-0.3")=8,COUNTIF(D54:I57,"&gt;=-0,3")=8),0.25,0)</f>
        <v>0.25</v>
      </c>
      <c r="E58" s="707"/>
      <c r="F58" s="707"/>
      <c r="G58" s="707"/>
      <c r="H58" s="707"/>
      <c r="I58" s="745"/>
      <c r="J58" s="707">
        <f>IF(OR(COUNTIF(J54:O57,"&gt;=-0.3")=8,COUNTIF(J54:O57,"&gt;=-0,3")=8),0.25,0)</f>
        <v>0.25</v>
      </c>
      <c r="K58" s="707"/>
      <c r="L58" s="707"/>
      <c r="M58" s="707"/>
      <c r="N58" s="707"/>
      <c r="O58" s="708"/>
      <c r="Q58" s="3"/>
      <c r="R58" s="28"/>
    </row>
    <row r="59" spans="1:18" s="1" customFormat="1" ht="15" customHeight="1" thickBot="1">
      <c r="B59" s="742"/>
      <c r="C59" s="743"/>
      <c r="D59" s="743"/>
      <c r="E59" s="743"/>
      <c r="F59" s="743"/>
      <c r="G59" s="743"/>
      <c r="H59" s="743"/>
      <c r="I59" s="743"/>
      <c r="J59" s="743"/>
      <c r="K59" s="743"/>
      <c r="L59" s="743"/>
      <c r="M59" s="743"/>
      <c r="N59" s="743"/>
      <c r="O59" s="744"/>
      <c r="R59" s="28"/>
    </row>
    <row r="60" spans="1:18" s="29" customFormat="1" ht="15" customHeight="1" thickBot="1">
      <c r="A60" s="28"/>
      <c r="B60" s="511" t="s">
        <v>146</v>
      </c>
      <c r="C60" s="517"/>
      <c r="D60" s="706">
        <f>SUM(D58,J58)</f>
        <v>0.5</v>
      </c>
      <c r="E60" s="707"/>
      <c r="F60" s="707"/>
      <c r="G60" s="707"/>
      <c r="H60" s="707"/>
      <c r="I60" s="707"/>
      <c r="J60" s="707"/>
      <c r="K60" s="707"/>
      <c r="L60" s="707"/>
      <c r="M60" s="707"/>
      <c r="N60" s="707"/>
      <c r="O60" s="708"/>
      <c r="R60" s="28"/>
    </row>
    <row r="61" spans="1:18" s="29" customFormat="1" ht="15" customHeight="1" thickBot="1">
      <c r="A61" s="28"/>
      <c r="B61" s="547"/>
      <c r="C61" s="547"/>
      <c r="D61" s="547"/>
      <c r="E61" s="547"/>
      <c r="F61" s="547"/>
      <c r="G61" s="547"/>
      <c r="H61" s="547"/>
      <c r="I61" s="547"/>
      <c r="J61" s="547"/>
      <c r="K61" s="547"/>
      <c r="L61" s="547"/>
      <c r="M61" s="547"/>
      <c r="N61" s="547"/>
      <c r="O61" s="547"/>
      <c r="R61" s="28"/>
    </row>
    <row r="62" spans="1:18" s="29" customFormat="1" ht="15" customHeight="1">
      <c r="A62" s="28"/>
      <c r="B62" s="33" t="s">
        <v>24</v>
      </c>
      <c r="C62" s="34"/>
      <c r="D62" s="499"/>
      <c r="E62" s="501"/>
      <c r="F62" s="501"/>
      <c r="G62" s="501"/>
      <c r="H62" s="501"/>
      <c r="I62" s="501"/>
      <c r="J62" s="501"/>
      <c r="K62" s="501"/>
      <c r="L62" s="501"/>
      <c r="M62" s="501"/>
      <c r="N62" s="501"/>
      <c r="O62" s="502"/>
      <c r="R62" s="28"/>
    </row>
    <row r="63" spans="1:18" s="29" customFormat="1" ht="15" customHeight="1">
      <c r="A63" s="28"/>
      <c r="B63" s="69">
        <v>1</v>
      </c>
      <c r="C63" s="42" t="s">
        <v>147</v>
      </c>
      <c r="D63" s="490" t="s">
        <v>772</v>
      </c>
      <c r="E63" s="491"/>
      <c r="F63" s="491"/>
      <c r="G63" s="491"/>
      <c r="H63" s="491"/>
      <c r="I63" s="491"/>
      <c r="J63" s="491"/>
      <c r="K63" s="491"/>
      <c r="L63" s="491"/>
      <c r="M63" s="491"/>
      <c r="N63" s="491"/>
      <c r="O63" s="492"/>
      <c r="Q63" s="61"/>
      <c r="R63" s="28"/>
    </row>
    <row r="64" spans="1:18" s="29" customFormat="1" ht="15" customHeight="1" thickBot="1">
      <c r="A64" s="28"/>
      <c r="B64" s="69">
        <v>2</v>
      </c>
      <c r="C64" s="42" t="s">
        <v>74</v>
      </c>
      <c r="D64" s="490" t="s">
        <v>772</v>
      </c>
      <c r="E64" s="491"/>
      <c r="F64" s="491"/>
      <c r="G64" s="491"/>
      <c r="H64" s="491"/>
      <c r="I64" s="491"/>
      <c r="J64" s="491"/>
      <c r="K64" s="491"/>
      <c r="L64" s="491"/>
      <c r="M64" s="491"/>
      <c r="N64" s="491"/>
      <c r="O64" s="492"/>
      <c r="Q64" s="61"/>
      <c r="R64" s="28"/>
    </row>
    <row r="65" spans="1:18" s="29" customFormat="1" ht="15" customHeight="1" thickBot="1">
      <c r="A65" s="28"/>
      <c r="B65" s="511" t="s">
        <v>27</v>
      </c>
      <c r="C65" s="512"/>
      <c r="D65" s="513">
        <f>IF(OR(D63="PASS",D64="PASS"),0.5,0)</f>
        <v>0.5</v>
      </c>
      <c r="E65" s="515"/>
      <c r="F65" s="515"/>
      <c r="G65" s="515"/>
      <c r="H65" s="515"/>
      <c r="I65" s="515"/>
      <c r="J65" s="515"/>
      <c r="K65" s="515"/>
      <c r="L65" s="515"/>
      <c r="M65" s="515"/>
      <c r="N65" s="515"/>
      <c r="O65" s="516"/>
      <c r="Q65" s="262"/>
      <c r="R65" s="28"/>
    </row>
    <row r="66" spans="1:18" s="29" customFormat="1" ht="15" customHeight="1" thickBot="1">
      <c r="A66" s="28"/>
      <c r="B66" s="547"/>
      <c r="C66" s="547"/>
      <c r="D66" s="547"/>
      <c r="E66" s="547"/>
      <c r="F66" s="547"/>
      <c r="G66" s="547"/>
      <c r="H66" s="547"/>
      <c r="I66" s="547"/>
      <c r="J66" s="547"/>
      <c r="K66" s="547"/>
      <c r="L66" s="547"/>
      <c r="M66" s="547"/>
      <c r="N66" s="547"/>
      <c r="O66" s="547"/>
      <c r="R66" s="28"/>
    </row>
    <row r="67" spans="1:18" s="29" customFormat="1" ht="15" customHeight="1" thickBot="1">
      <c r="A67" s="28"/>
      <c r="B67" s="481" t="s">
        <v>9</v>
      </c>
      <c r="C67" s="523"/>
      <c r="D67" s="524"/>
      <c r="E67" s="746"/>
      <c r="F67" s="746"/>
      <c r="G67" s="746"/>
      <c r="H67" s="746"/>
      <c r="I67" s="746"/>
      <c r="J67" s="746"/>
      <c r="K67" s="746"/>
      <c r="L67" s="746"/>
      <c r="M67" s="746"/>
      <c r="N67" s="746"/>
      <c r="O67" s="548"/>
      <c r="R67" s="28"/>
    </row>
    <row r="68" spans="1:18" s="29" customFormat="1" ht="15" customHeight="1">
      <c r="A68" s="28"/>
      <c r="B68" s="87"/>
      <c r="C68" s="86" t="s">
        <v>148</v>
      </c>
      <c r="D68" s="747">
        <f>D50</f>
        <v>1.75</v>
      </c>
      <c r="E68" s="748"/>
      <c r="F68" s="748"/>
      <c r="G68" s="748"/>
      <c r="H68" s="748"/>
      <c r="I68" s="748"/>
      <c r="J68" s="748"/>
      <c r="K68" s="748"/>
      <c r="L68" s="748"/>
      <c r="M68" s="748"/>
      <c r="N68" s="748"/>
      <c r="O68" s="749"/>
      <c r="R68" s="28"/>
    </row>
    <row r="69" spans="1:18" s="29" customFormat="1" ht="15" customHeight="1">
      <c r="A69" s="28"/>
      <c r="B69" s="36"/>
      <c r="C69" s="83" t="s">
        <v>81</v>
      </c>
      <c r="D69" s="750">
        <f>D60</f>
        <v>0.5</v>
      </c>
      <c r="E69" s="751"/>
      <c r="F69" s="751"/>
      <c r="G69" s="751"/>
      <c r="H69" s="751"/>
      <c r="I69" s="751"/>
      <c r="J69" s="751"/>
      <c r="K69" s="751"/>
      <c r="L69" s="751"/>
      <c r="M69" s="751"/>
      <c r="N69" s="751"/>
      <c r="O69" s="752"/>
      <c r="R69" s="28"/>
    </row>
    <row r="70" spans="1:18" ht="15" customHeight="1" thickBot="1">
      <c r="B70" s="38"/>
      <c r="C70" s="85" t="s">
        <v>24</v>
      </c>
      <c r="D70" s="753">
        <f>D65</f>
        <v>0.5</v>
      </c>
      <c r="E70" s="754"/>
      <c r="F70" s="754"/>
      <c r="G70" s="754"/>
      <c r="H70" s="754"/>
      <c r="I70" s="754"/>
      <c r="J70" s="754"/>
      <c r="K70" s="754"/>
      <c r="L70" s="754"/>
      <c r="M70" s="754"/>
      <c r="N70" s="754"/>
      <c r="O70" s="755"/>
    </row>
    <row r="71" spans="1:18" ht="15" customHeight="1" thickBot="1">
      <c r="B71" s="547"/>
      <c r="C71" s="547"/>
      <c r="D71" s="547"/>
      <c r="E71" s="547"/>
      <c r="F71" s="547"/>
      <c r="G71" s="547"/>
      <c r="H71" s="547"/>
      <c r="I71" s="547"/>
      <c r="J71" s="547"/>
      <c r="K71" s="547"/>
      <c r="L71" s="547"/>
      <c r="M71" s="547"/>
      <c r="N71" s="547"/>
      <c r="O71" s="547"/>
    </row>
    <row r="72" spans="1:18" ht="21.6" thickBot="1">
      <c r="B72" s="534" t="s">
        <v>149</v>
      </c>
      <c r="C72" s="535"/>
      <c r="D72" s="536">
        <f>IF(D14="FAIL",0,ROUND(SUM(D68:O70),Round))</f>
        <v>2.75</v>
      </c>
      <c r="E72" s="537"/>
      <c r="F72" s="537"/>
      <c r="G72" s="537"/>
      <c r="H72" s="537"/>
      <c r="I72" s="537"/>
      <c r="J72" s="537"/>
      <c r="K72" s="537"/>
      <c r="L72" s="537"/>
      <c r="M72" s="537"/>
      <c r="N72" s="537"/>
      <c r="O72" s="538"/>
      <c r="R72" s="70"/>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3">
    <dataValidation type="list" allowBlank="1" showInputMessage="1" showErrorMessage="1" sqref="D8:O8" xr:uid="{87B0F3E8-E67F-45A6-BB6D-872A81BB8736}">
      <formula1>"LKA,LKA and ELK"</formula1>
    </dataValidation>
    <dataValidation type="list" allowBlank="1" showInputMessage="1" showErrorMessage="1" sqref="D31:O34 D37:I40 D63:O64 J39:O41 D43:I46 J45:O47" xr:uid="{C26450E2-3AC5-4A32-970D-401869573817}">
      <formula1>"PASS,FAIL"</formula1>
    </dataValidation>
    <dataValidation type="list" allowBlank="1" showInputMessage="1" showErrorMessage="1" sqref="D13:G13 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zoomScaleNormal="100" workbookViewId="0">
      <selection activeCell="H12" sqref="H11:H12"/>
    </sheetView>
  </sheetViews>
  <sheetFormatPr defaultColWidth="8.6640625" defaultRowHeight="13.8"/>
  <cols>
    <col min="1" max="2" width="8.6640625" style="20"/>
    <col min="3" max="3" width="47.6640625" style="20" customWidth="1"/>
    <col min="4" max="5" width="18.5546875" style="20" customWidth="1"/>
    <col min="6" max="6" width="8.6640625" style="41" hidden="1" customWidth="1"/>
    <col min="7" max="16384" width="8.6640625" style="20"/>
  </cols>
  <sheetData>
    <row r="1" spans="1:6" ht="14.4" thickBot="1"/>
    <row r="2" spans="1:6" s="26" customFormat="1" ht="12.75" customHeight="1">
      <c r="B2" s="603" t="s">
        <v>769</v>
      </c>
      <c r="C2" s="764"/>
      <c r="D2" s="767"/>
      <c r="E2" s="768"/>
      <c r="F2" s="265"/>
    </row>
    <row r="3" spans="1:6" s="26" customFormat="1" ht="15" customHeight="1">
      <c r="B3" s="765"/>
      <c r="C3" s="766"/>
      <c r="D3" s="769"/>
      <c r="E3" s="770"/>
      <c r="F3" s="265"/>
    </row>
    <row r="4" spans="1:6" ht="15" customHeight="1" thickBot="1">
      <c r="B4" s="771"/>
      <c r="C4" s="772"/>
      <c r="D4" s="240" t="s">
        <v>13</v>
      </c>
      <c r="E4" s="266" t="s">
        <v>15</v>
      </c>
    </row>
    <row r="5" spans="1:6" s="94" customFormat="1" ht="15" customHeight="1">
      <c r="A5" s="20"/>
      <c r="B5" s="33" t="s">
        <v>29</v>
      </c>
      <c r="C5" s="267"/>
      <c r="D5" s="591"/>
      <c r="E5" s="593"/>
      <c r="F5" s="41"/>
    </row>
    <row r="6" spans="1:6" s="94" customFormat="1" ht="15" customHeight="1" thickBot="1">
      <c r="A6" s="20"/>
      <c r="B6" s="268"/>
      <c r="C6" s="269" t="s">
        <v>53</v>
      </c>
      <c r="D6" s="773"/>
      <c r="E6" s="774"/>
      <c r="F6" s="270">
        <f>D6</f>
        <v>0</v>
      </c>
    </row>
    <row r="7" spans="1:6" s="94" customFormat="1" ht="15" customHeight="1" thickBot="1">
      <c r="A7" s="20"/>
      <c r="B7" s="20"/>
      <c r="C7" s="26"/>
      <c r="D7" s="20"/>
      <c r="E7" s="20"/>
      <c r="F7" s="41"/>
    </row>
    <row r="8" spans="1:6" s="94" customFormat="1" ht="15" customHeight="1">
      <c r="A8" s="20"/>
      <c r="B8" s="96" t="s">
        <v>58</v>
      </c>
      <c r="C8" s="271"/>
      <c r="D8" s="591"/>
      <c r="E8" s="593"/>
      <c r="F8" s="41"/>
    </row>
    <row r="9" spans="1:6" s="94" customFormat="1" ht="15" customHeight="1">
      <c r="A9" s="20"/>
      <c r="B9" s="25"/>
      <c r="C9" s="272" t="s">
        <v>6</v>
      </c>
      <c r="D9" s="760"/>
      <c r="E9" s="761"/>
      <c r="F9" s="270"/>
    </row>
    <row r="10" spans="1:6" s="94" customFormat="1" ht="15" customHeight="1">
      <c r="A10" s="20"/>
      <c r="B10" s="25"/>
      <c r="C10" s="272" t="s">
        <v>735</v>
      </c>
      <c r="D10" s="238"/>
      <c r="E10" s="273">
        <f>D10</f>
        <v>0</v>
      </c>
      <c r="F10" s="41"/>
    </row>
    <row r="11" spans="1:6" s="94" customFormat="1" ht="15" customHeight="1">
      <c r="A11" s="20"/>
      <c r="B11" s="25"/>
      <c r="C11" s="272" t="s">
        <v>737</v>
      </c>
      <c r="D11" s="274"/>
      <c r="E11" s="273"/>
      <c r="F11" s="41"/>
    </row>
    <row r="12" spans="1:6" s="94" customFormat="1" ht="15" customHeight="1">
      <c r="A12" s="20"/>
      <c r="B12" s="25"/>
      <c r="C12" s="275" t="s">
        <v>738</v>
      </c>
      <c r="D12" s="238"/>
      <c r="E12" s="276">
        <f>D12</f>
        <v>0</v>
      </c>
      <c r="F12" s="41"/>
    </row>
    <row r="13" spans="1:6" s="94" customFormat="1" ht="15" customHeight="1">
      <c r="A13" s="20"/>
      <c r="B13" s="25"/>
      <c r="C13" s="52" t="s">
        <v>739</v>
      </c>
      <c r="D13" s="238"/>
      <c r="E13" s="276">
        <f>D13</f>
        <v>0</v>
      </c>
      <c r="F13" s="41"/>
    </row>
    <row r="14" spans="1:6" s="94" customFormat="1" ht="15" customHeight="1">
      <c r="A14" s="20"/>
      <c r="B14" s="25"/>
      <c r="C14" s="52" t="s">
        <v>61</v>
      </c>
      <c r="D14" s="277"/>
      <c r="E14" s="239" t="str">
        <f>IF(D14="","",IF(D14&lt;&gt;"Other","Pass","Fail"))</f>
        <v/>
      </c>
      <c r="F14" s="41"/>
    </row>
    <row r="15" spans="1:6" s="280" customFormat="1" ht="15" customHeight="1">
      <c r="A15" s="26"/>
      <c r="B15" s="278"/>
      <c r="C15" s="279" t="s">
        <v>741</v>
      </c>
      <c r="D15" s="775">
        <f>IF(COUNTIFS(E10:E14,"Pass")=4,0.5,0)</f>
        <v>0</v>
      </c>
      <c r="E15" s="776"/>
      <c r="F15" s="265"/>
    </row>
    <row r="16" spans="1:6" s="94" customFormat="1" ht="15" customHeight="1">
      <c r="A16" s="20"/>
      <c r="B16" s="281"/>
      <c r="C16" s="51" t="s">
        <v>742</v>
      </c>
      <c r="D16" s="762"/>
      <c r="E16" s="763"/>
      <c r="F16" s="41"/>
    </row>
    <row r="17" spans="1:6" s="94" customFormat="1" ht="15" customHeight="1">
      <c r="A17" s="20"/>
      <c r="B17" s="25"/>
      <c r="C17" s="95" t="s">
        <v>87</v>
      </c>
      <c r="D17" s="238"/>
      <c r="E17" s="282">
        <f>IF(D17="Pass",2,0)</f>
        <v>0</v>
      </c>
      <c r="F17" s="41"/>
    </row>
    <row r="18" spans="1:6" s="94" customFormat="1" ht="15" customHeight="1">
      <c r="A18" s="20"/>
      <c r="B18" s="25"/>
      <c r="C18" s="95" t="s">
        <v>88</v>
      </c>
      <c r="D18" s="238"/>
      <c r="E18" s="282">
        <f>IF(D18="Pass",2,0)</f>
        <v>0</v>
      </c>
      <c r="F18" s="41"/>
    </row>
    <row r="19" spans="1:6" s="94" customFormat="1" ht="15" customHeight="1">
      <c r="A19" s="20"/>
      <c r="B19" s="25"/>
      <c r="C19" s="95" t="s">
        <v>89</v>
      </c>
      <c r="D19" s="238"/>
      <c r="E19" s="282">
        <f>IF(D19="Pass",3,0)</f>
        <v>0</v>
      </c>
      <c r="F19" s="41"/>
    </row>
    <row r="20" spans="1:6" s="94" customFormat="1" ht="15" customHeight="1">
      <c r="A20" s="20"/>
      <c r="B20" s="25"/>
      <c r="C20" s="95" t="s">
        <v>94</v>
      </c>
      <c r="D20" s="238"/>
      <c r="E20" s="282">
        <f>IF(D20="Pass",1,0)</f>
        <v>0</v>
      </c>
      <c r="F20" s="41"/>
    </row>
    <row r="21" spans="1:6" s="94" customFormat="1" ht="15" customHeight="1">
      <c r="A21" s="20"/>
      <c r="B21" s="25"/>
      <c r="C21" s="95" t="s">
        <v>90</v>
      </c>
      <c r="D21" s="238"/>
      <c r="E21" s="282">
        <f>IF(D21="Pass",1,0)</f>
        <v>0</v>
      </c>
      <c r="F21" s="41"/>
    </row>
    <row r="22" spans="1:6" s="94" customFormat="1" ht="15" customHeight="1">
      <c r="A22" s="20"/>
      <c r="B22" s="25"/>
      <c r="C22" s="95" t="s">
        <v>95</v>
      </c>
      <c r="D22" s="238"/>
      <c r="E22" s="282">
        <f>IF(D22="Pass",1,0)</f>
        <v>0</v>
      </c>
      <c r="F22" s="41"/>
    </row>
    <row r="23" spans="1:6" s="94" customFormat="1" ht="15" customHeight="1">
      <c r="A23" s="20"/>
      <c r="B23" s="25"/>
      <c r="C23" s="95" t="s">
        <v>91</v>
      </c>
      <c r="D23" s="238"/>
      <c r="E23" s="282">
        <f>IF(D23="Pass",2,0)</f>
        <v>0</v>
      </c>
      <c r="F23" s="41"/>
    </row>
    <row r="24" spans="1:6" s="94" customFormat="1" ht="15" customHeight="1">
      <c r="A24" s="20"/>
      <c r="B24" s="25"/>
      <c r="C24" s="95" t="s">
        <v>92</v>
      </c>
      <c r="D24" s="238"/>
      <c r="E24" s="282">
        <f>IF(D24="Pass",3,0)</f>
        <v>0</v>
      </c>
      <c r="F24" s="41"/>
    </row>
    <row r="25" spans="1:6" s="94" customFormat="1" ht="15" customHeight="1">
      <c r="A25" s="20"/>
      <c r="B25" s="25"/>
      <c r="C25" s="95" t="s">
        <v>93</v>
      </c>
      <c r="D25" s="238"/>
      <c r="E25" s="282">
        <f>IF(D25="Pass",2,0)</f>
        <v>0</v>
      </c>
      <c r="F25" s="41"/>
    </row>
    <row r="26" spans="1:6" s="94" customFormat="1" ht="15" customHeight="1">
      <c r="A26" s="20"/>
      <c r="B26" s="25"/>
      <c r="C26" s="95" t="s">
        <v>96</v>
      </c>
      <c r="D26" s="238"/>
      <c r="E26" s="282">
        <f>IF(D26="Pass",3,0)</f>
        <v>0</v>
      </c>
      <c r="F26" s="41"/>
    </row>
    <row r="27" spans="1:6" s="94" customFormat="1" ht="15" customHeight="1">
      <c r="A27" s="20"/>
      <c r="B27" s="283"/>
      <c r="C27" s="284" t="s">
        <v>743</v>
      </c>
      <c r="D27" s="285"/>
      <c r="E27" s="286">
        <f>SUM(E17:E26)</f>
        <v>0</v>
      </c>
      <c r="F27" s="41"/>
    </row>
    <row r="28" spans="1:6" s="94" customFormat="1" ht="15" customHeight="1">
      <c r="A28" s="20"/>
      <c r="B28" s="25"/>
      <c r="C28" s="51" t="s">
        <v>744</v>
      </c>
      <c r="D28" s="287"/>
      <c r="E28" s="273"/>
      <c r="F28" s="41"/>
    </row>
    <row r="29" spans="1:6" s="94" customFormat="1" ht="15" customHeight="1">
      <c r="A29" s="20"/>
      <c r="B29" s="25"/>
      <c r="C29" s="95" t="s">
        <v>745</v>
      </c>
      <c r="D29" s="238"/>
      <c r="E29" s="282">
        <f>IF(AND(D29="Pass",IF(LEFT(D$55,1)="I",1,0)=1),2,0)</f>
        <v>0</v>
      </c>
      <c r="F29" s="41"/>
    </row>
    <row r="30" spans="1:6" s="94" customFormat="1" ht="15" customHeight="1">
      <c r="A30" s="20"/>
      <c r="B30" s="25"/>
      <c r="C30" s="95" t="s">
        <v>746</v>
      </c>
      <c r="D30" s="238"/>
      <c r="E30" s="282">
        <f>IF(AND(D30="Pass",IF(LEFT(D$55,1)="I",1,0)=1),2,0)</f>
        <v>0</v>
      </c>
      <c r="F30" s="41"/>
    </row>
    <row r="31" spans="1:6" s="94" customFormat="1" ht="15" customHeight="1">
      <c r="A31" s="20"/>
      <c r="B31" s="25"/>
      <c r="C31" s="95" t="s">
        <v>747</v>
      </c>
      <c r="D31" s="238"/>
      <c r="E31" s="282">
        <f>IF(AND(D31="Pass",IF(LEFT(D$55,1)="I",1,0)=1),1,0)</f>
        <v>0</v>
      </c>
      <c r="F31" s="41"/>
    </row>
    <row r="32" spans="1:6" s="94" customFormat="1" ht="15" customHeight="1">
      <c r="A32" s="20"/>
      <c r="B32" s="25"/>
      <c r="C32" s="95" t="s">
        <v>748</v>
      </c>
      <c r="D32" s="238"/>
      <c r="E32" s="282">
        <f>IF(D32="Pass",2,0)</f>
        <v>0</v>
      </c>
      <c r="F32" s="41"/>
    </row>
    <row r="33" spans="1:6" s="94" customFormat="1" ht="15" customHeight="1">
      <c r="A33" s="20"/>
      <c r="B33" s="25"/>
      <c r="C33" s="95" t="s">
        <v>749</v>
      </c>
      <c r="D33" s="238"/>
      <c r="E33" s="282">
        <f>IF(D33="Pass",1,0)</f>
        <v>0</v>
      </c>
      <c r="F33" s="41"/>
    </row>
    <row r="34" spans="1:6" s="94" customFormat="1" ht="15" customHeight="1">
      <c r="A34" s="20"/>
      <c r="B34" s="25"/>
      <c r="C34" s="95" t="s">
        <v>750</v>
      </c>
      <c r="D34" s="238"/>
      <c r="E34" s="282">
        <f>IF(D34="Pass",1,0)</f>
        <v>0</v>
      </c>
      <c r="F34" s="41"/>
    </row>
    <row r="35" spans="1:6" s="94" customFormat="1" ht="15" customHeight="1">
      <c r="A35" s="20"/>
      <c r="B35" s="25"/>
      <c r="C35" s="95" t="s">
        <v>751</v>
      </c>
      <c r="D35" s="238"/>
      <c r="E35" s="282">
        <f>IF(D35="Pass",1,0)</f>
        <v>0</v>
      </c>
      <c r="F35" s="41"/>
    </row>
    <row r="36" spans="1:6" s="94" customFormat="1" ht="15" customHeight="1">
      <c r="A36" s="20"/>
      <c r="B36" s="283"/>
      <c r="C36" s="284" t="s">
        <v>752</v>
      </c>
      <c r="D36" s="285"/>
      <c r="E36" s="286">
        <f>SUM(E29:E35)</f>
        <v>0</v>
      </c>
      <c r="F36" s="41"/>
    </row>
    <row r="37" spans="1:6" s="94" customFormat="1" ht="15" customHeight="1">
      <c r="A37" s="20"/>
      <c r="B37" s="25"/>
      <c r="C37" s="51" t="s">
        <v>753</v>
      </c>
      <c r="D37" s="287"/>
      <c r="E37" s="273"/>
      <c r="F37" s="41"/>
    </row>
    <row r="38" spans="1:6" s="94" customFormat="1" ht="15" customHeight="1">
      <c r="A38" s="20"/>
      <c r="B38" s="25"/>
      <c r="C38" s="288" t="s">
        <v>754</v>
      </c>
      <c r="D38" s="238"/>
      <c r="E38" s="282">
        <f>IF(D38="Pass",2,0)</f>
        <v>0</v>
      </c>
      <c r="F38" s="41"/>
    </row>
    <row r="39" spans="1:6" s="94" customFormat="1" ht="15" customHeight="1">
      <c r="A39" s="20"/>
      <c r="B39" s="25"/>
      <c r="C39" s="288" t="s">
        <v>755</v>
      </c>
      <c r="D39" s="238"/>
      <c r="E39" s="282">
        <f>IF(D39="Pass",1,0)</f>
        <v>0</v>
      </c>
      <c r="F39" s="41"/>
    </row>
    <row r="40" spans="1:6" s="94" customFormat="1" ht="15" customHeight="1">
      <c r="A40" s="20"/>
      <c r="B40" s="25"/>
      <c r="C40" s="288" t="s">
        <v>756</v>
      </c>
      <c r="D40" s="238"/>
      <c r="E40" s="282">
        <f t="shared" ref="E40:E46" si="0">IF(D40="Pass",1,0)</f>
        <v>0</v>
      </c>
      <c r="F40" s="41"/>
    </row>
    <row r="41" spans="1:6" s="94" customFormat="1" ht="15" customHeight="1">
      <c r="A41" s="20"/>
      <c r="B41" s="25"/>
      <c r="C41" s="288" t="s">
        <v>757</v>
      </c>
      <c r="D41" s="238"/>
      <c r="E41" s="282">
        <f t="shared" si="0"/>
        <v>0</v>
      </c>
      <c r="F41" s="41"/>
    </row>
    <row r="42" spans="1:6" s="94" customFormat="1" ht="15" customHeight="1">
      <c r="A42" s="20"/>
      <c r="B42" s="25"/>
      <c r="C42" s="288" t="s">
        <v>758</v>
      </c>
      <c r="D42" s="238"/>
      <c r="E42" s="282">
        <f t="shared" si="0"/>
        <v>0</v>
      </c>
      <c r="F42" s="41"/>
    </row>
    <row r="43" spans="1:6" s="94" customFormat="1" ht="15" customHeight="1">
      <c r="A43" s="20"/>
      <c r="B43" s="25"/>
      <c r="C43" s="288" t="s">
        <v>759</v>
      </c>
      <c r="D43" s="238"/>
      <c r="E43" s="282">
        <f t="shared" si="0"/>
        <v>0</v>
      </c>
      <c r="F43" s="41"/>
    </row>
    <row r="44" spans="1:6" s="94" customFormat="1" ht="15" customHeight="1">
      <c r="A44" s="20"/>
      <c r="B44" s="25"/>
      <c r="C44" s="288" t="s">
        <v>760</v>
      </c>
      <c r="D44" s="238"/>
      <c r="E44" s="282">
        <f t="shared" si="0"/>
        <v>0</v>
      </c>
      <c r="F44" s="41"/>
    </row>
    <row r="45" spans="1:6" s="94" customFormat="1" ht="15" customHeight="1">
      <c r="A45" s="20"/>
      <c r="B45" s="25"/>
      <c r="C45" s="288" t="s">
        <v>761</v>
      </c>
      <c r="D45" s="238"/>
      <c r="E45" s="282">
        <f t="shared" si="0"/>
        <v>0</v>
      </c>
      <c r="F45" s="41"/>
    </row>
    <row r="46" spans="1:6" s="94" customFormat="1" ht="15" customHeight="1">
      <c r="A46" s="20"/>
      <c r="B46" s="25"/>
      <c r="C46" s="288" t="s">
        <v>762</v>
      </c>
      <c r="D46" s="238"/>
      <c r="E46" s="282">
        <f t="shared" si="0"/>
        <v>0</v>
      </c>
      <c r="F46" s="41"/>
    </row>
    <row r="47" spans="1:6" s="94" customFormat="1" ht="15" customHeight="1">
      <c r="A47" s="20"/>
      <c r="B47" s="283"/>
      <c r="C47" s="289" t="s">
        <v>763</v>
      </c>
      <c r="D47" s="285"/>
      <c r="E47" s="286">
        <f>SUM(E38:E46)</f>
        <v>0</v>
      </c>
      <c r="F47" s="41"/>
    </row>
    <row r="48" spans="1:6" s="94" customFormat="1" ht="15" customHeight="1">
      <c r="A48" s="20"/>
      <c r="B48" s="25"/>
      <c r="C48" s="51" t="s">
        <v>764</v>
      </c>
      <c r="D48" s="287"/>
      <c r="E48" s="273"/>
      <c r="F48" s="41"/>
    </row>
    <row r="49" spans="1:6" s="94" customFormat="1" ht="15" customHeight="1">
      <c r="A49" s="20"/>
      <c r="B49" s="25"/>
      <c r="C49" s="51"/>
      <c r="D49" s="238" t="s">
        <v>765</v>
      </c>
      <c r="E49" s="282">
        <f>IF(D49="Quarterly",5,IF(D49="Continuous",10,0))</f>
        <v>10</v>
      </c>
      <c r="F49" s="41"/>
    </row>
    <row r="50" spans="1:6" s="94" customFormat="1" ht="15" customHeight="1">
      <c r="A50" s="20"/>
      <c r="B50" s="283"/>
      <c r="C50" s="289" t="s">
        <v>766</v>
      </c>
      <c r="D50" s="285"/>
      <c r="E50" s="286">
        <f>E49</f>
        <v>10</v>
      </c>
      <c r="F50" s="41"/>
    </row>
    <row r="51" spans="1:6" s="94" customFormat="1" ht="15" customHeight="1" thickBot="1">
      <c r="A51" s="20"/>
      <c r="B51" s="25"/>
      <c r="C51" s="288"/>
      <c r="D51" s="287"/>
      <c r="E51" s="273"/>
      <c r="F51" s="41"/>
    </row>
    <row r="52" spans="1:6" s="94" customFormat="1" ht="15" customHeight="1" thickBot="1">
      <c r="A52" s="20"/>
      <c r="B52" s="573" t="s">
        <v>59</v>
      </c>
      <c r="C52" s="574"/>
      <c r="D52" s="663">
        <f>IF(D15=0,0,D15+E27*(0.25/20)+E36*(0.25/10)+E47*(0.25/10)+E50*(0.25/10))</f>
        <v>0</v>
      </c>
      <c r="E52" s="665"/>
      <c r="F52" s="41"/>
    </row>
    <row r="53" spans="1:6" s="94" customFormat="1" ht="15" customHeight="1" thickBot="1">
      <c r="A53" s="20"/>
      <c r="B53" s="20"/>
      <c r="C53" s="26"/>
      <c r="D53" s="20"/>
      <c r="E53" s="20"/>
      <c r="F53" s="41"/>
    </row>
    <row r="54" spans="1:6" s="94" customFormat="1" ht="15" customHeight="1">
      <c r="A54" s="20"/>
      <c r="B54" s="96" t="s">
        <v>98</v>
      </c>
      <c r="C54" s="271"/>
      <c r="D54" s="591"/>
      <c r="E54" s="593"/>
      <c r="F54" s="41"/>
    </row>
    <row r="55" spans="1:6" s="94" customFormat="1" ht="15" customHeight="1">
      <c r="A55" s="20"/>
      <c r="B55" s="281"/>
      <c r="C55" s="51" t="s">
        <v>767</v>
      </c>
      <c r="D55" s="760"/>
      <c r="E55" s="761"/>
      <c r="F55" s="290"/>
    </row>
    <row r="56" spans="1:6" s="94" customFormat="1" ht="15" customHeight="1">
      <c r="A56" s="20"/>
      <c r="B56" s="281"/>
      <c r="C56" s="51" t="s">
        <v>768</v>
      </c>
      <c r="D56" s="762"/>
      <c r="E56" s="763"/>
      <c r="F56" s="41"/>
    </row>
    <row r="57" spans="1:6" s="94" customFormat="1" ht="15" customHeight="1">
      <c r="A57" s="20"/>
      <c r="B57" s="281"/>
      <c r="C57" s="54" t="s">
        <v>64</v>
      </c>
      <c r="D57" s="762"/>
      <c r="E57" s="763"/>
      <c r="F57" s="41"/>
    </row>
    <row r="58" spans="1:6" s="94" customFormat="1" ht="15" customHeight="1">
      <c r="A58" s="20"/>
      <c r="B58" s="281"/>
      <c r="C58" s="52" t="s">
        <v>68</v>
      </c>
      <c r="D58" s="291"/>
      <c r="E58" s="276" t="str">
        <f>IF(AND(D58&lt;&gt;"",D58&gt;=45),"Pass","Fail")</f>
        <v>Fail</v>
      </c>
      <c r="F58" s="41"/>
    </row>
    <row r="59" spans="1:6" s="94" customFormat="1" ht="15" customHeight="1">
      <c r="A59" s="20"/>
      <c r="B59" s="281"/>
      <c r="C59" s="52" t="s">
        <v>80</v>
      </c>
      <c r="D59" s="287" t="str">
        <f>IF(D58="","",50-D58)</f>
        <v/>
      </c>
      <c r="E59" s="276"/>
      <c r="F59" s="41"/>
    </row>
    <row r="60" spans="1:6" s="94" customFormat="1" ht="15" customHeight="1">
      <c r="A60" s="20"/>
      <c r="B60" s="281"/>
      <c r="C60" s="54" t="s">
        <v>65</v>
      </c>
      <c r="D60" s="274"/>
      <c r="E60" s="292"/>
      <c r="F60" s="41"/>
    </row>
    <row r="61" spans="1:6" s="94" customFormat="1" ht="15" customHeight="1">
      <c r="A61" s="20"/>
      <c r="B61" s="281"/>
      <c r="C61" s="52" t="s">
        <v>68</v>
      </c>
      <c r="D61" s="291"/>
      <c r="E61" s="276" t="str">
        <f>IF(AND(D61&lt;&gt;"",D61&gt;=75),"Pass","Fail")</f>
        <v>Fail</v>
      </c>
      <c r="F61" s="41"/>
    </row>
    <row r="62" spans="1:6" s="94" customFormat="1" ht="15" customHeight="1">
      <c r="A62" s="20"/>
      <c r="B62" s="281"/>
      <c r="C62" s="52" t="s">
        <v>80</v>
      </c>
      <c r="D62" s="287" t="str">
        <f>IF(D61="","",80-D61)</f>
        <v/>
      </c>
      <c r="E62" s="276"/>
      <c r="F62" s="41"/>
    </row>
    <row r="63" spans="1:6" s="94" customFormat="1" ht="15" customHeight="1">
      <c r="A63" s="20"/>
      <c r="B63" s="281"/>
      <c r="C63" s="54" t="s">
        <v>66</v>
      </c>
      <c r="D63" s="274"/>
      <c r="E63" s="292"/>
      <c r="F63" s="41"/>
    </row>
    <row r="64" spans="1:6" s="94" customFormat="1" ht="15" customHeight="1">
      <c r="A64" s="20"/>
      <c r="B64" s="281"/>
      <c r="C64" s="52" t="s">
        <v>68</v>
      </c>
      <c r="D64" s="291"/>
      <c r="E64" s="276" t="str">
        <f>IF(AND(D64&lt;&gt;"",D64&gt;=115),"Pass","Fail")</f>
        <v>Fail</v>
      </c>
      <c r="F64" s="41"/>
    </row>
    <row r="65" spans="1:6" s="94" customFormat="1" ht="15" customHeight="1" thickBot="1">
      <c r="A65" s="20"/>
      <c r="B65" s="281"/>
      <c r="C65" s="52" t="s">
        <v>80</v>
      </c>
      <c r="D65" s="287" t="str">
        <f>IF(D64="","",120-D64)</f>
        <v/>
      </c>
      <c r="E65" s="276"/>
      <c r="F65" s="41"/>
    </row>
    <row r="66" spans="1:6" s="94" customFormat="1" ht="15" customHeight="1" thickBot="1">
      <c r="A66" s="20"/>
      <c r="B66" s="573" t="s">
        <v>99</v>
      </c>
      <c r="C66" s="574"/>
      <c r="D66" s="663">
        <f>IF(AND(D59&lt;=5,D62&lt;=5,D65&lt;=5),IF(OR(D55="Intelligent Speed Limiter default ON",D55="Intelligent ACC"),1.5,IF(D55="Intelligent Speed Limiter not default ON",1,IF(D55="Speed limitation function",0.5,0))),0)</f>
        <v>0</v>
      </c>
      <c r="E66" s="665"/>
      <c r="F66" s="41"/>
    </row>
    <row r="67" spans="1:6" s="94" customFormat="1" ht="15" customHeight="1" thickBot="1">
      <c r="A67" s="20"/>
      <c r="B67" s="20"/>
      <c r="C67" s="26"/>
      <c r="D67" s="20"/>
      <c r="E67" s="20"/>
      <c r="F67" s="41"/>
    </row>
    <row r="68" spans="1:6" s="94" customFormat="1" ht="15" customHeight="1" thickBot="1">
      <c r="A68" s="20"/>
      <c r="B68" s="573" t="s">
        <v>9</v>
      </c>
      <c r="C68" s="574"/>
      <c r="D68" s="648"/>
      <c r="E68" s="650"/>
      <c r="F68" s="41"/>
    </row>
    <row r="69" spans="1:6" s="94" customFormat="1" ht="15" customHeight="1">
      <c r="A69" s="20"/>
      <c r="B69" s="25"/>
      <c r="C69" s="293" t="s">
        <v>60</v>
      </c>
      <c r="D69" s="756">
        <f>D52</f>
        <v>0</v>
      </c>
      <c r="E69" s="757"/>
      <c r="F69" s="41"/>
    </row>
    <row r="70" spans="1:6" ht="15" customHeight="1" thickBot="1">
      <c r="B70" s="294"/>
      <c r="C70" s="295" t="s">
        <v>101</v>
      </c>
      <c r="D70" s="758">
        <f>D66</f>
        <v>0</v>
      </c>
      <c r="E70" s="759"/>
    </row>
    <row r="71" spans="1:6" ht="15" customHeight="1" thickBot="1"/>
    <row r="72" spans="1:6" ht="21.6" thickBot="1">
      <c r="B72" s="553" t="s">
        <v>5</v>
      </c>
      <c r="C72" s="554"/>
      <c r="D72" s="555">
        <f>ROUND(SUM(D69:E70),Round)</f>
        <v>0</v>
      </c>
      <c r="E72" s="557"/>
      <c r="F72" s="296"/>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5" activePane="bottomLeft" state="frozen"/>
      <selection activeCell="D30" sqref="D30"/>
      <selection pane="bottomLeft" activeCell="F24" sqref="F24"/>
    </sheetView>
  </sheetViews>
  <sheetFormatPr defaultColWidth="8.88671875" defaultRowHeight="13.8"/>
  <cols>
    <col min="1" max="2" width="8.88671875" style="1"/>
    <col min="3" max="3" width="40.44140625" style="1" customWidth="1"/>
    <col min="4" max="5" width="18.5546875" style="1" customWidth="1"/>
    <col min="6" max="8" width="8.88671875" style="45" customWidth="1"/>
    <col min="9" max="9" width="9.109375" style="47" customWidth="1"/>
    <col min="10" max="11" width="8.88671875" style="45"/>
    <col min="12" max="16384" width="8.88671875" style="1"/>
  </cols>
  <sheetData>
    <row r="1" spans="1:11" ht="14.4" thickBot="1"/>
    <row r="2" spans="1:11" s="3" customFormat="1" ht="12.75" customHeight="1">
      <c r="B2" s="447" t="s">
        <v>770</v>
      </c>
      <c r="C2" s="448"/>
      <c r="D2" s="782"/>
      <c r="E2" s="783"/>
      <c r="F2" s="46"/>
      <c r="G2" s="45"/>
      <c r="H2" s="46"/>
      <c r="I2" s="71"/>
      <c r="J2" s="46"/>
      <c r="K2" s="46"/>
    </row>
    <row r="3" spans="1:11" s="3" customFormat="1" ht="15" customHeight="1">
      <c r="B3" s="449"/>
      <c r="C3" s="450"/>
      <c r="D3" s="784"/>
      <c r="E3" s="785"/>
      <c r="F3" s="46"/>
      <c r="G3" s="46"/>
      <c r="H3" s="46"/>
      <c r="I3" s="71"/>
      <c r="J3" s="46"/>
      <c r="K3" s="46"/>
    </row>
    <row r="4" spans="1:11" ht="15" customHeight="1" thickBot="1">
      <c r="B4" s="451"/>
      <c r="C4" s="452"/>
      <c r="D4" s="4" t="s">
        <v>13</v>
      </c>
      <c r="E4" s="17" t="s">
        <v>15</v>
      </c>
    </row>
    <row r="5" spans="1:11" s="2" customFormat="1" ht="15" customHeight="1">
      <c r="A5" s="1"/>
      <c r="B5" s="33" t="s">
        <v>29</v>
      </c>
      <c r="C5" s="67"/>
      <c r="D5" s="667"/>
      <c r="E5" s="777"/>
      <c r="F5" s="45"/>
      <c r="G5" s="45"/>
      <c r="H5" s="45"/>
      <c r="I5" s="47"/>
      <c r="J5" s="45"/>
      <c r="K5" s="47"/>
    </row>
    <row r="6" spans="1:11" s="2" customFormat="1" ht="15" customHeight="1">
      <c r="A6" s="1"/>
      <c r="B6" s="5"/>
      <c r="C6" s="50" t="s">
        <v>53</v>
      </c>
      <c r="D6" s="786"/>
      <c r="E6" s="787"/>
      <c r="F6" s="45"/>
      <c r="G6" s="45"/>
      <c r="H6" s="45"/>
      <c r="I6" s="47"/>
      <c r="J6" s="45"/>
      <c r="K6" s="47"/>
    </row>
    <row r="7" spans="1:11" s="2" customFormat="1" ht="15" customHeight="1" thickBot="1">
      <c r="A7" s="1"/>
      <c r="B7" s="49"/>
      <c r="C7" s="68" t="s">
        <v>30</v>
      </c>
      <c r="D7" s="780"/>
      <c r="E7" s="781"/>
      <c r="F7" s="45"/>
      <c r="G7" s="45"/>
      <c r="H7" s="45"/>
      <c r="I7" s="47"/>
      <c r="J7" s="45"/>
      <c r="K7" s="47"/>
    </row>
    <row r="8" spans="1:11" s="2" customFormat="1" ht="15" customHeight="1" thickBot="1">
      <c r="A8" s="1"/>
      <c r="B8" s="1"/>
      <c r="C8" s="3"/>
      <c r="D8" s="1"/>
      <c r="E8" s="1"/>
      <c r="F8" s="45"/>
      <c r="G8" s="45"/>
      <c r="H8" s="72"/>
      <c r="I8" s="47"/>
      <c r="J8" s="45"/>
      <c r="K8" s="47"/>
    </row>
    <row r="9" spans="1:11" s="2" customFormat="1" ht="15" customHeight="1">
      <c r="A9" s="1"/>
      <c r="B9" s="9" t="s">
        <v>58</v>
      </c>
      <c r="C9" s="19"/>
      <c r="D9" s="667"/>
      <c r="E9" s="777"/>
      <c r="F9" s="45"/>
      <c r="G9" s="45"/>
      <c r="H9" s="45"/>
      <c r="I9" s="47"/>
      <c r="J9" s="45"/>
      <c r="K9" s="47"/>
    </row>
    <row r="10" spans="1:11" s="2" customFormat="1" ht="15" customHeight="1">
      <c r="A10" s="1"/>
      <c r="B10" s="7"/>
      <c r="C10" s="16" t="s">
        <v>6</v>
      </c>
      <c r="D10" s="786" t="s">
        <v>774</v>
      </c>
      <c r="E10" s="787"/>
      <c r="F10" s="73"/>
      <c r="G10" s="45"/>
      <c r="H10" s="45"/>
      <c r="I10" s="47"/>
      <c r="J10" s="45"/>
      <c r="K10" s="47"/>
    </row>
    <row r="11" spans="1:11" s="2" customFormat="1" ht="15" customHeight="1">
      <c r="A11" s="1"/>
      <c r="B11" s="7"/>
      <c r="C11" s="16" t="s">
        <v>85</v>
      </c>
      <c r="D11" s="76" t="s">
        <v>736</v>
      </c>
      <c r="E11" s="117">
        <f>IF(D11="Pass",0.5,0)</f>
        <v>0.5</v>
      </c>
      <c r="F11" s="45"/>
      <c r="G11" s="45"/>
      <c r="H11" s="45"/>
      <c r="I11" s="47"/>
      <c r="J11" s="45"/>
      <c r="K11" s="47"/>
    </row>
    <row r="12" spans="1:11" s="2" customFormat="1" ht="15" customHeight="1">
      <c r="A12" s="1"/>
      <c r="B12" s="5"/>
      <c r="C12" s="51" t="s">
        <v>86</v>
      </c>
      <c r="D12" s="788"/>
      <c r="E12" s="789"/>
      <c r="F12" s="45"/>
      <c r="G12" s="45"/>
      <c r="H12" s="45"/>
      <c r="I12" s="47"/>
      <c r="J12" s="45"/>
      <c r="K12" s="47"/>
    </row>
    <row r="13" spans="1:11" s="2" customFormat="1" ht="15" customHeight="1">
      <c r="A13" s="1"/>
      <c r="B13" s="7"/>
      <c r="C13" s="12" t="s">
        <v>87</v>
      </c>
      <c r="D13" s="76"/>
      <c r="E13" s="117">
        <f>IF(D13="Pass",0.05,0)</f>
        <v>0</v>
      </c>
      <c r="F13" s="45"/>
      <c r="G13" s="45"/>
      <c r="H13" s="45"/>
      <c r="I13" s="47"/>
      <c r="J13" s="45"/>
      <c r="K13" s="47"/>
    </row>
    <row r="14" spans="1:11" s="2" customFormat="1" ht="15" customHeight="1">
      <c r="A14" s="1"/>
      <c r="B14" s="7"/>
      <c r="C14" s="12" t="s">
        <v>88</v>
      </c>
      <c r="D14" s="76"/>
      <c r="E14" s="117">
        <f>IF(D14="Pass",0.05,0)</f>
        <v>0</v>
      </c>
      <c r="F14" s="45"/>
      <c r="G14" s="45"/>
      <c r="H14" s="45"/>
      <c r="I14" s="47"/>
      <c r="J14" s="45"/>
      <c r="K14" s="47"/>
    </row>
    <row r="15" spans="1:11" s="2" customFormat="1" ht="15" customHeight="1">
      <c r="A15" s="1"/>
      <c r="B15" s="7"/>
      <c r="C15" s="12" t="s">
        <v>89</v>
      </c>
      <c r="D15" s="76"/>
      <c r="E15" s="117">
        <f>IF(D15="Pass",0.075,0)</f>
        <v>0</v>
      </c>
      <c r="F15" s="45"/>
      <c r="G15" s="45"/>
      <c r="H15" s="45"/>
      <c r="I15" s="47"/>
      <c r="J15" s="45"/>
      <c r="K15" s="47"/>
    </row>
    <row r="16" spans="1:11" s="2" customFormat="1" ht="15" customHeight="1">
      <c r="A16" s="1"/>
      <c r="B16" s="7"/>
      <c r="C16" s="12" t="s">
        <v>94</v>
      </c>
      <c r="D16" s="76"/>
      <c r="E16" s="117">
        <f>IF(D16="Pass",0.025,0)</f>
        <v>0</v>
      </c>
      <c r="F16" s="45"/>
      <c r="G16" s="45"/>
      <c r="H16" s="45"/>
      <c r="I16" s="47"/>
      <c r="J16" s="45"/>
      <c r="K16" s="47"/>
    </row>
    <row r="17" spans="1:11" s="2" customFormat="1" ht="15" customHeight="1">
      <c r="A17" s="1"/>
      <c r="B17" s="7"/>
      <c r="C17" s="12" t="s">
        <v>90</v>
      </c>
      <c r="D17" s="76"/>
      <c r="E17" s="117">
        <f>IF(D17="Pass",0.025,0)</f>
        <v>0</v>
      </c>
      <c r="F17" s="45"/>
      <c r="G17" s="45"/>
      <c r="H17" s="45"/>
      <c r="I17" s="47"/>
      <c r="J17" s="45"/>
      <c r="K17" s="47"/>
    </row>
    <row r="18" spans="1:11" s="2" customFormat="1" ht="15" customHeight="1">
      <c r="A18" s="1"/>
      <c r="B18" s="7"/>
      <c r="C18" s="12" t="s">
        <v>95</v>
      </c>
      <c r="D18" s="76"/>
      <c r="E18" s="117">
        <f>IF(D18="Pass",0.025,0)</f>
        <v>0</v>
      </c>
      <c r="F18" s="45"/>
      <c r="G18" s="45"/>
      <c r="H18" s="45"/>
      <c r="I18" s="47"/>
      <c r="J18" s="45"/>
      <c r="K18" s="47"/>
    </row>
    <row r="19" spans="1:11" s="2" customFormat="1" ht="15" customHeight="1">
      <c r="A19" s="1"/>
      <c r="B19" s="7"/>
      <c r="C19" s="12" t="s">
        <v>91</v>
      </c>
      <c r="D19" s="76"/>
      <c r="E19" s="117">
        <f>IF(D19="Pass",0.05,0)</f>
        <v>0</v>
      </c>
      <c r="F19" s="45"/>
      <c r="G19" s="45"/>
      <c r="H19" s="45"/>
      <c r="I19" s="47"/>
      <c r="J19" s="45"/>
      <c r="K19" s="47"/>
    </row>
    <row r="20" spans="1:11" s="2" customFormat="1" ht="15" customHeight="1">
      <c r="A20" s="1"/>
      <c r="B20" s="7"/>
      <c r="C20" s="12" t="s">
        <v>92</v>
      </c>
      <c r="D20" s="76"/>
      <c r="E20" s="117">
        <f>IF(D20="Pass",0.075,0)</f>
        <v>0</v>
      </c>
      <c r="F20" s="45"/>
      <c r="G20" s="45"/>
      <c r="H20" s="45"/>
      <c r="I20" s="47"/>
      <c r="J20" s="45"/>
      <c r="K20" s="47"/>
    </row>
    <row r="21" spans="1:11" s="2" customFormat="1" ht="15" customHeight="1">
      <c r="A21" s="1"/>
      <c r="B21" s="7"/>
      <c r="C21" s="12" t="s">
        <v>93</v>
      </c>
      <c r="D21" s="76"/>
      <c r="E21" s="117">
        <f>IF(D21="Pass",0.05,0)</f>
        <v>0</v>
      </c>
      <c r="F21" s="45"/>
      <c r="G21" s="45"/>
      <c r="H21" s="45"/>
      <c r="I21" s="47"/>
      <c r="J21" s="45"/>
      <c r="K21" s="47"/>
    </row>
    <row r="22" spans="1:11" s="2" customFormat="1" ht="15" customHeight="1">
      <c r="A22" s="1"/>
      <c r="B22" s="7"/>
      <c r="C22" s="12" t="s">
        <v>96</v>
      </c>
      <c r="D22" s="76"/>
      <c r="E22" s="117">
        <f>IF(D22="Pass",0.075,0)</f>
        <v>0</v>
      </c>
      <c r="F22" s="45"/>
      <c r="G22" s="45"/>
      <c r="H22" s="45"/>
      <c r="I22" s="47"/>
      <c r="J22" s="45"/>
      <c r="K22" s="47"/>
    </row>
    <row r="23" spans="1:11" s="2" customFormat="1" ht="15" customHeight="1">
      <c r="A23" s="1"/>
      <c r="B23" s="7"/>
      <c r="C23" s="16" t="s">
        <v>97</v>
      </c>
      <c r="D23" s="62"/>
      <c r="E23" s="117">
        <f>IF(SUM(E13:E22)&gt;0.3,0.25,0)</f>
        <v>0</v>
      </c>
      <c r="F23" s="45"/>
      <c r="G23" s="45"/>
      <c r="H23" s="45"/>
      <c r="I23" s="47"/>
      <c r="J23" s="45"/>
      <c r="K23" s="47"/>
    </row>
    <row r="24" spans="1:11" s="2" customFormat="1" ht="15" customHeight="1">
      <c r="A24" s="1"/>
      <c r="B24" s="5"/>
      <c r="C24" s="52" t="s">
        <v>712</v>
      </c>
      <c r="D24" s="76"/>
      <c r="E24" s="15" t="str">
        <f>IF(D24="","",IF(D24&lt;&gt;"Other","Pass","Fail"))</f>
        <v/>
      </c>
      <c r="F24" s="6"/>
      <c r="G24" s="73"/>
      <c r="H24" s="45"/>
      <c r="I24" s="47"/>
      <c r="J24" s="45"/>
      <c r="K24" s="47"/>
    </row>
    <row r="25" spans="1:11" s="2" customFormat="1" ht="15" customHeight="1">
      <c r="A25" s="1"/>
      <c r="B25" s="7"/>
      <c r="C25" s="16" t="s">
        <v>7</v>
      </c>
      <c r="D25" s="62"/>
      <c r="E25" s="117">
        <f>IF(AND(E26="Pass",E27="Pass",E28="Pass"),0.25,0)</f>
        <v>0.25</v>
      </c>
      <c r="F25" s="45"/>
      <c r="G25" s="45"/>
      <c r="H25" s="45"/>
      <c r="I25" s="47"/>
      <c r="J25" s="45"/>
      <c r="K25" s="47"/>
    </row>
    <row r="26" spans="1:11" s="2" customFormat="1" ht="15" customHeight="1">
      <c r="A26" s="1"/>
      <c r="B26" s="5"/>
      <c r="C26" s="52" t="s">
        <v>63</v>
      </c>
      <c r="D26" s="125" t="s">
        <v>775</v>
      </c>
      <c r="E26" s="15" t="str">
        <f>IF(D26="","",IF(D26&lt;&gt;"Other","Pass","Fail"))</f>
        <v>Pass</v>
      </c>
      <c r="F26" s="45"/>
      <c r="G26" s="45"/>
      <c r="H26" s="45"/>
      <c r="I26" s="47"/>
      <c r="J26" s="45"/>
      <c r="K26" s="47"/>
    </row>
    <row r="27" spans="1:11" s="2" customFormat="1" ht="15" customHeight="1">
      <c r="A27" s="1"/>
      <c r="B27" s="5"/>
      <c r="C27" s="52" t="s">
        <v>61</v>
      </c>
      <c r="D27" s="125" t="s">
        <v>740</v>
      </c>
      <c r="E27" s="15" t="str">
        <f>IF(D27="","",IF(D27&lt;&gt;"Other","Pass","Fail"))</f>
        <v>Pass</v>
      </c>
      <c r="F27" s="45"/>
      <c r="G27" s="45"/>
      <c r="H27" s="45"/>
      <c r="I27" s="47"/>
      <c r="J27" s="45"/>
      <c r="K27" s="47"/>
    </row>
    <row r="28" spans="1:11" s="2" customFormat="1" ht="15" customHeight="1" thickBot="1">
      <c r="A28" s="1"/>
      <c r="B28" s="5"/>
      <c r="C28" s="52" t="s">
        <v>67</v>
      </c>
      <c r="D28" s="53" t="s">
        <v>776</v>
      </c>
      <c r="E28" s="15" t="str">
        <f>IF(D28="","",IF(AND(D28&lt;&gt;"",D28&gt;=10),"Pass","Fail"))</f>
        <v>Pass</v>
      </c>
      <c r="F28" s="45"/>
      <c r="G28" s="45"/>
      <c r="H28" s="45"/>
      <c r="I28" s="47"/>
      <c r="J28" s="45"/>
      <c r="K28" s="47"/>
    </row>
    <row r="29" spans="1:11" s="2" customFormat="1" ht="15" customHeight="1" thickBot="1">
      <c r="A29" s="1"/>
      <c r="B29" s="453" t="s">
        <v>59</v>
      </c>
      <c r="C29" s="454"/>
      <c r="D29" s="778">
        <f>SUM(E11:E25)</f>
        <v>0.75</v>
      </c>
      <c r="E29" s="779"/>
      <c r="F29" s="45"/>
      <c r="G29" s="45"/>
      <c r="H29" s="45"/>
      <c r="I29" s="47"/>
      <c r="J29" s="45"/>
      <c r="K29" s="47"/>
    </row>
    <row r="30" spans="1:11" s="2" customFormat="1" ht="15" customHeight="1" thickBot="1">
      <c r="A30" s="1"/>
      <c r="B30" s="1"/>
      <c r="C30" s="3"/>
      <c r="D30" s="1"/>
      <c r="E30" s="1"/>
      <c r="F30" s="45"/>
      <c r="G30" s="45"/>
      <c r="H30" s="72"/>
      <c r="I30" s="47"/>
      <c r="J30" s="45"/>
      <c r="K30" s="47"/>
    </row>
    <row r="31" spans="1:11" s="2" customFormat="1" ht="15" customHeight="1">
      <c r="A31" s="1"/>
      <c r="B31" s="9" t="s">
        <v>98</v>
      </c>
      <c r="C31" s="19"/>
      <c r="D31" s="667"/>
      <c r="E31" s="777"/>
      <c r="F31" s="45"/>
      <c r="G31" s="47"/>
      <c r="H31" s="45"/>
      <c r="I31" s="47"/>
      <c r="J31" s="45"/>
      <c r="K31" s="47"/>
    </row>
    <row r="32" spans="1:11" s="2" customFormat="1" ht="15" customHeight="1">
      <c r="A32" s="1"/>
      <c r="B32" s="5"/>
      <c r="C32" s="51" t="s">
        <v>62</v>
      </c>
      <c r="D32" s="786" t="s">
        <v>777</v>
      </c>
      <c r="E32" s="787"/>
      <c r="F32" s="43"/>
      <c r="G32" s="45"/>
      <c r="H32" s="45"/>
      <c r="I32" s="47"/>
      <c r="J32" s="45"/>
      <c r="K32" s="47"/>
    </row>
    <row r="33" spans="1:11" s="2" customFormat="1" ht="15" customHeight="1">
      <c r="A33" s="1"/>
      <c r="B33" s="5"/>
      <c r="C33" s="51"/>
      <c r="D33" s="788"/>
      <c r="E33" s="789"/>
      <c r="F33" s="45"/>
      <c r="G33" s="45"/>
      <c r="H33" s="45"/>
      <c r="I33" s="47"/>
      <c r="J33" s="45"/>
      <c r="K33" s="47"/>
    </row>
    <row r="34" spans="1:11" s="2" customFormat="1" ht="15" customHeight="1">
      <c r="A34" s="1"/>
      <c r="B34" s="5"/>
      <c r="C34" s="54" t="s">
        <v>64</v>
      </c>
      <c r="D34" s="788"/>
      <c r="E34" s="789"/>
      <c r="F34" s="45"/>
      <c r="G34" s="45"/>
      <c r="H34" s="45"/>
      <c r="I34" s="47"/>
      <c r="J34" s="45"/>
      <c r="K34" s="47"/>
    </row>
    <row r="35" spans="1:11" s="2" customFormat="1" ht="15" customHeight="1">
      <c r="A35" s="1"/>
      <c r="B35" s="5"/>
      <c r="C35" s="52" t="s">
        <v>68</v>
      </c>
      <c r="D35" s="53">
        <v>48.48</v>
      </c>
      <c r="E35" s="15" t="str">
        <f>IF(AND(D35&lt;&gt;"",D35&gt;=45),"Pass","Fail")</f>
        <v>Pass</v>
      </c>
      <c r="F35" s="45"/>
      <c r="G35" s="45"/>
      <c r="H35" s="45"/>
      <c r="I35" s="47"/>
      <c r="J35" s="45"/>
      <c r="K35" s="47"/>
    </row>
    <row r="36" spans="1:11" s="2" customFormat="1" ht="15" customHeight="1">
      <c r="A36" s="1"/>
      <c r="B36" s="5"/>
      <c r="C36" s="52" t="s">
        <v>80</v>
      </c>
      <c r="D36" s="62">
        <f>IF(D35="","",50-D35)</f>
        <v>1.5200000000000031</v>
      </c>
      <c r="E36" s="15"/>
      <c r="F36" s="45"/>
      <c r="G36" s="45"/>
      <c r="H36" s="45"/>
      <c r="I36" s="47"/>
      <c r="J36" s="45"/>
      <c r="K36" s="47"/>
    </row>
    <row r="37" spans="1:11" s="2" customFormat="1" ht="15" customHeight="1">
      <c r="A37" s="1"/>
      <c r="B37" s="5"/>
      <c r="C37" s="54" t="s">
        <v>65</v>
      </c>
      <c r="D37" s="11"/>
      <c r="E37" s="8"/>
      <c r="F37" s="45"/>
      <c r="G37" s="45"/>
      <c r="H37" s="45"/>
      <c r="I37" s="47"/>
      <c r="J37" s="45"/>
      <c r="K37" s="47"/>
    </row>
    <row r="38" spans="1:11" s="2" customFormat="1" ht="15" customHeight="1">
      <c r="A38" s="1"/>
      <c r="B38" s="5"/>
      <c r="C38" s="52" t="s">
        <v>68</v>
      </c>
      <c r="D38" s="53">
        <v>78.25</v>
      </c>
      <c r="E38" s="15" t="str">
        <f>IF(AND(D38&lt;&gt;"",D38&gt;=75),"Pass","Fail")</f>
        <v>Pass</v>
      </c>
      <c r="F38" s="45"/>
      <c r="G38" s="45"/>
      <c r="H38" s="45"/>
      <c r="I38" s="47"/>
      <c r="J38" s="45"/>
      <c r="K38" s="47"/>
    </row>
    <row r="39" spans="1:11" s="2" customFormat="1" ht="15" customHeight="1">
      <c r="A39" s="1"/>
      <c r="B39" s="5"/>
      <c r="C39" s="52" t="s">
        <v>80</v>
      </c>
      <c r="D39" s="62">
        <f>IF(D38="","",80-D38)</f>
        <v>1.75</v>
      </c>
      <c r="E39" s="15"/>
      <c r="F39" s="45"/>
      <c r="G39" s="45"/>
      <c r="H39" s="45"/>
      <c r="I39" s="47"/>
      <c r="J39" s="45"/>
      <c r="K39" s="47"/>
    </row>
    <row r="40" spans="1:11" s="2" customFormat="1" ht="15" customHeight="1">
      <c r="A40" s="1"/>
      <c r="B40" s="5"/>
      <c r="C40" s="54" t="s">
        <v>66</v>
      </c>
      <c r="D40" s="11"/>
      <c r="E40" s="8"/>
      <c r="F40" s="45"/>
      <c r="G40" s="45"/>
      <c r="H40" s="45"/>
      <c r="I40" s="47"/>
      <c r="J40" s="45"/>
      <c r="K40" s="47"/>
    </row>
    <row r="41" spans="1:11" s="2" customFormat="1" ht="15" customHeight="1">
      <c r="A41" s="1"/>
      <c r="B41" s="5"/>
      <c r="C41" s="52" t="s">
        <v>68</v>
      </c>
      <c r="D41" s="53">
        <v>117.57</v>
      </c>
      <c r="E41" s="15" t="str">
        <f>IF(AND(D41&lt;&gt;"",D41&gt;=115),"Pass","Fail")</f>
        <v>Pass</v>
      </c>
      <c r="F41" s="45"/>
      <c r="G41" s="45"/>
      <c r="H41" s="45"/>
      <c r="I41" s="47"/>
      <c r="J41" s="45"/>
      <c r="K41" s="47"/>
    </row>
    <row r="42" spans="1:11" s="2" customFormat="1" ht="15" customHeight="1" thickBot="1">
      <c r="A42" s="1"/>
      <c r="B42" s="5"/>
      <c r="C42" s="52" t="s">
        <v>80</v>
      </c>
      <c r="D42" s="62">
        <f>IF(D41="","",120-D41)</f>
        <v>2.4300000000000068</v>
      </c>
      <c r="E42" s="15"/>
      <c r="F42" s="45"/>
      <c r="G42" s="45"/>
      <c r="H42" s="45"/>
      <c r="I42" s="47"/>
      <c r="J42" s="45"/>
      <c r="K42" s="47"/>
    </row>
    <row r="43" spans="1:11" s="2" customFormat="1" ht="15" customHeight="1" thickBot="1">
      <c r="A43" s="1"/>
      <c r="B43" s="453" t="s">
        <v>99</v>
      </c>
      <c r="C43" s="454"/>
      <c r="D43" s="778">
        <f>IF(AND(D36&lt;=5,D39&lt;=5,D42&lt;=5),IF(D32="System advised",1.5,IF(D32="Manually set",IF(D29&gt;0,0.75,1.25),0)),0)</f>
        <v>1.5</v>
      </c>
      <c r="E43" s="779"/>
      <c r="F43" s="45"/>
      <c r="G43" s="45"/>
      <c r="H43" s="45"/>
      <c r="I43" s="47"/>
      <c r="J43" s="45"/>
      <c r="K43" s="47"/>
    </row>
    <row r="44" spans="1:11" s="2" customFormat="1" ht="15" customHeight="1" thickBot="1">
      <c r="A44" s="1"/>
      <c r="B44" s="1"/>
      <c r="C44" s="3"/>
      <c r="D44" s="1"/>
      <c r="E44" s="1"/>
      <c r="F44" s="45"/>
      <c r="G44" s="45"/>
      <c r="H44" s="72"/>
      <c r="I44" s="47"/>
      <c r="J44" s="45"/>
      <c r="K44" s="47"/>
    </row>
    <row r="45" spans="1:11" s="2" customFormat="1" ht="15" customHeight="1" thickBot="1">
      <c r="A45" s="1"/>
      <c r="B45" s="453" t="s">
        <v>9</v>
      </c>
      <c r="C45" s="454"/>
      <c r="D45" s="571"/>
      <c r="E45" s="796"/>
      <c r="F45" s="45"/>
      <c r="G45" s="45"/>
      <c r="H45" s="45"/>
      <c r="I45" s="47"/>
      <c r="J45" s="45"/>
      <c r="K45" s="47"/>
    </row>
    <row r="46" spans="1:11" s="2" customFormat="1" ht="15" customHeight="1">
      <c r="A46" s="1"/>
      <c r="B46" s="7"/>
      <c r="C46" s="18" t="s">
        <v>60</v>
      </c>
      <c r="D46" s="794">
        <f>D29</f>
        <v>0.75</v>
      </c>
      <c r="E46" s="795"/>
      <c r="F46" s="45"/>
      <c r="G46" s="45"/>
      <c r="H46" s="45"/>
      <c r="I46" s="47"/>
      <c r="J46" s="45"/>
      <c r="K46" s="47"/>
    </row>
    <row r="47" spans="1:11" ht="15" customHeight="1" thickBot="1">
      <c r="B47" s="13"/>
      <c r="C47" s="14" t="s">
        <v>101</v>
      </c>
      <c r="D47" s="797">
        <f>D43</f>
        <v>1.5</v>
      </c>
      <c r="E47" s="798"/>
    </row>
    <row r="48" spans="1:11" ht="15" customHeight="1" thickBot="1"/>
    <row r="49" spans="2:6" ht="21.6" thickBot="1">
      <c r="B49" s="790" t="s">
        <v>5</v>
      </c>
      <c r="C49" s="791"/>
      <c r="D49" s="792">
        <f>ROUND(SUM(D46:E47),Round)</f>
        <v>2.25</v>
      </c>
      <c r="E49" s="793"/>
      <c r="F49" s="74"/>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6">
    <dataValidation type="list" allowBlank="1" showInputMessage="1" showErrorMessage="1" sqref="D32" xr:uid="{F5651B26-BED0-41FB-8776-31517F1C13EB}">
      <formula1>"Manually set,System advised,N/A"</formula1>
    </dataValidation>
    <dataValidation type="list" allowBlank="1" showInputMessage="1" showErrorMessage="1" sqref="D10" xr:uid="{F2FCF510-BF96-4276-AFAA-31CB8945B035}">
      <formula1>"Camera based,Map based,Camera &amp; Map,N/A"</formula1>
    </dataValidation>
    <dataValidation type="list" allowBlank="1" showInputMessage="1" showErrorMessage="1" sqref="D7:E7" xr:uid="{411666CC-E108-4A96-A47F-52FA6CF86E5A}">
      <formula1>"SLIF,SLIF and Speed Control Function,Speed Control Function"</formula1>
    </dataValidation>
    <dataValidation type="list" allowBlank="1" showInputMessage="1" showErrorMessage="1" sqref="D11 D13:D22 D24" xr:uid="{4C1376E5-222A-46C3-9A62-181EE462E6E8}">
      <formula1>"Pass,Fail,N/A"</formula1>
    </dataValidation>
    <dataValidation type="list" allowBlank="1" showInputMessage="1" showErrorMessage="1" sqref="D26" xr:uid="{6AD3EBC6-BA06-4CBA-88B8-16AA724FB2A4}">
      <formula1>"Instrument Panel,Head-Up Display,Other"</formula1>
    </dataValidation>
    <dataValidation type="list" allowBlank="1" showInputMessage="1" showErrorMessage="1" sqref="D27" xr:uid="{AD97C417-56BA-4C18-9332-FB5672685E3D}">
      <formula1>"Flashing Traffic Sign,Additional signal.Other"</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E28" sqref="E28"/>
    </sheetView>
  </sheetViews>
  <sheetFormatPr defaultColWidth="8.88671875" defaultRowHeight="13.8"/>
  <cols>
    <col min="1" max="2" width="8.88671875" style="1"/>
    <col min="3" max="3" width="44.109375" style="1" customWidth="1"/>
    <col min="4" max="7" width="12.88671875" style="1" customWidth="1"/>
    <col min="8" max="16384" width="8.88671875" style="1"/>
  </cols>
  <sheetData>
    <row r="1" spans="1:9" ht="14.4" thickBot="1"/>
    <row r="2" spans="1:9" s="3" customFormat="1" ht="12.75" customHeight="1">
      <c r="B2" s="447" t="s">
        <v>170</v>
      </c>
      <c r="C2" s="448"/>
      <c r="D2" s="782" t="s">
        <v>11</v>
      </c>
      <c r="E2" s="823"/>
      <c r="F2" s="825" t="s">
        <v>56</v>
      </c>
      <c r="G2" s="783"/>
    </row>
    <row r="3" spans="1:9" s="3" customFormat="1" ht="15" customHeight="1">
      <c r="B3" s="449"/>
      <c r="C3" s="450"/>
      <c r="D3" s="784"/>
      <c r="E3" s="824"/>
      <c r="F3" s="826"/>
      <c r="G3" s="785"/>
    </row>
    <row r="4" spans="1:9" ht="15" customHeight="1" thickBot="1">
      <c r="B4" s="451"/>
      <c r="C4" s="452"/>
      <c r="D4" s="814" t="s">
        <v>15</v>
      </c>
      <c r="E4" s="815"/>
      <c r="F4" s="809" t="s">
        <v>15</v>
      </c>
      <c r="G4" s="810"/>
    </row>
    <row r="5" spans="1:9" ht="15" customHeight="1">
      <c r="B5" s="9" t="s">
        <v>172</v>
      </c>
      <c r="C5" s="10"/>
      <c r="D5" s="667"/>
      <c r="E5" s="668"/>
      <c r="F5" s="800"/>
      <c r="G5" s="777"/>
    </row>
    <row r="6" spans="1:9" ht="15" customHeight="1">
      <c r="B6" s="5"/>
      <c r="C6" s="6" t="s">
        <v>84</v>
      </c>
      <c r="D6" s="575"/>
      <c r="E6" s="822"/>
      <c r="F6" s="816" t="s">
        <v>772</v>
      </c>
      <c r="G6" s="787"/>
    </row>
    <row r="7" spans="1:9" ht="15" customHeight="1">
      <c r="B7" s="7"/>
      <c r="C7" s="50" t="s">
        <v>54</v>
      </c>
      <c r="D7" s="786" t="s">
        <v>772</v>
      </c>
      <c r="E7" s="821"/>
      <c r="F7" s="816" t="s">
        <v>772</v>
      </c>
      <c r="G7" s="787"/>
    </row>
    <row r="8" spans="1:9" ht="15" customHeight="1" thickBot="1">
      <c r="B8" s="7"/>
      <c r="C8" s="50" t="s">
        <v>55</v>
      </c>
      <c r="D8" s="780" t="s">
        <v>772</v>
      </c>
      <c r="E8" s="820"/>
      <c r="F8" s="816" t="s">
        <v>772</v>
      </c>
      <c r="G8" s="787"/>
    </row>
    <row r="9" spans="1:9" s="2" customFormat="1" ht="15" customHeight="1" thickBot="1">
      <c r="A9" s="1"/>
      <c r="B9" s="453" t="s">
        <v>57</v>
      </c>
      <c r="C9" s="454"/>
      <c r="D9" s="811">
        <f>IF(COUNTIF(D6:E8,"Pass")=2,1,0)</f>
        <v>1</v>
      </c>
      <c r="E9" s="812"/>
      <c r="F9" s="812">
        <f>IF(COUNTIF(F6:G8,"Pass")=3,1,0)</f>
        <v>1</v>
      </c>
      <c r="G9" s="813"/>
    </row>
    <row r="10" spans="1:9" ht="15" customHeight="1" thickBot="1"/>
    <row r="11" spans="1:9">
      <c r="B11" s="9" t="s">
        <v>173</v>
      </c>
      <c r="C11" s="98"/>
      <c r="D11" s="667"/>
      <c r="E11" s="668"/>
      <c r="F11" s="800"/>
      <c r="G11" s="777"/>
      <c r="I11" s="45"/>
    </row>
    <row r="12" spans="1:9">
      <c r="B12" s="5"/>
      <c r="C12" s="99" t="s">
        <v>73</v>
      </c>
      <c r="D12" s="801" t="s">
        <v>772</v>
      </c>
      <c r="E12" s="802"/>
      <c r="F12" s="803">
        <f>IF(AND(D12="PASS",D13="PASS"),1,0)</f>
        <v>1</v>
      </c>
      <c r="G12" s="804"/>
      <c r="I12" s="45"/>
    </row>
    <row r="13" spans="1:9" ht="14.4" thickBot="1">
      <c r="B13" s="5"/>
      <c r="C13" s="99" t="s">
        <v>203</v>
      </c>
      <c r="D13" s="807" t="s">
        <v>772</v>
      </c>
      <c r="E13" s="808"/>
      <c r="F13" s="805"/>
      <c r="G13" s="806"/>
    </row>
    <row r="14" spans="1:9" s="2" customFormat="1" ht="15" thickBot="1">
      <c r="A14" s="1"/>
      <c r="B14" s="453" t="s">
        <v>174</v>
      </c>
      <c r="C14" s="454"/>
      <c r="D14" s="706">
        <f>F12</f>
        <v>1</v>
      </c>
      <c r="E14" s="707"/>
      <c r="F14" s="707"/>
      <c r="G14" s="708"/>
    </row>
    <row r="15" spans="1:9" ht="14.4" thickBot="1"/>
    <row r="16" spans="1:9" s="2" customFormat="1" ht="15" thickBot="1">
      <c r="A16" s="1"/>
      <c r="B16" s="453" t="s">
        <v>9</v>
      </c>
      <c r="C16" s="454"/>
      <c r="D16" s="571"/>
      <c r="E16" s="799"/>
      <c r="F16" s="799"/>
      <c r="G16" s="796"/>
      <c r="H16" s="47"/>
    </row>
    <row r="17" spans="1:8" s="2" customFormat="1">
      <c r="A17" s="1"/>
      <c r="B17" s="7"/>
      <c r="C17" s="18" t="s">
        <v>57</v>
      </c>
      <c r="D17" s="794" cm="1">
        <f t="array" ref="D17">IF(OR(D6:G8="FAIL"),0,SUM(D9:G9))</f>
        <v>2</v>
      </c>
      <c r="E17" s="819"/>
      <c r="F17" s="819"/>
      <c r="G17" s="795"/>
      <c r="H17" s="47"/>
    </row>
    <row r="18" spans="1:8" ht="14.4" thickBot="1">
      <c r="B18" s="13"/>
      <c r="C18" s="14" t="s">
        <v>174</v>
      </c>
      <c r="D18" s="797">
        <f>D14</f>
        <v>1</v>
      </c>
      <c r="E18" s="817"/>
      <c r="F18" s="817"/>
      <c r="G18" s="798"/>
      <c r="H18" s="45"/>
    </row>
    <row r="19" spans="1:8" ht="14.4" thickBot="1">
      <c r="F19" s="45"/>
      <c r="G19" s="45"/>
      <c r="H19" s="45"/>
    </row>
    <row r="20" spans="1:8" ht="21.6" thickBot="1">
      <c r="B20" s="790" t="s">
        <v>171</v>
      </c>
      <c r="C20" s="791"/>
      <c r="D20" s="792">
        <f>D17+D18</f>
        <v>3</v>
      </c>
      <c r="E20" s="818"/>
      <c r="F20" s="818"/>
      <c r="G20" s="793"/>
    </row>
    <row r="21" spans="1:8">
      <c r="D21" s="58"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dataValidations count="1">
    <dataValidation type="list" allowBlank="1" showInputMessage="1" showErrorMessage="1" sqref="D12:E12 D7:E8 F6:G8 D13:E13" xr:uid="{AABBE3ED-5AC2-4B1E-A831-B259156FB960}">
      <formula1>"PASS,FAIL"</formula1>
    </dataValidation>
  </dataValidations>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B27" sqref="B27"/>
    </sheetView>
  </sheetViews>
  <sheetFormatPr defaultColWidth="8.88671875" defaultRowHeight="15"/>
  <cols>
    <col min="1" max="1" width="48" style="160" bestFit="1" customWidth="1"/>
    <col min="2" max="2" width="19.88671875" style="161" bestFit="1" customWidth="1"/>
    <col min="3" max="3" width="21.6640625" style="160" customWidth="1"/>
    <col min="4" max="14" width="8.88671875" style="160"/>
    <col min="15" max="15" width="11.109375" style="160" bestFit="1" customWidth="1"/>
    <col min="16" max="21" width="8.88671875" style="160"/>
    <col min="22" max="22" width="11.109375" style="160" bestFit="1" customWidth="1"/>
    <col min="23" max="16384" width="8.88671875" style="160"/>
  </cols>
  <sheetData>
    <row r="1" spans="1:7">
      <c r="A1" s="160" t="s">
        <v>19</v>
      </c>
      <c r="B1" s="167" t="str">
        <f>'General Overview'!C3</f>
        <v>FIAT</v>
      </c>
      <c r="C1" s="160" t="s">
        <v>222</v>
      </c>
      <c r="D1" s="160" t="str">
        <f>IF(COUNT(G:G)&gt;0,"Check!!","")</f>
        <v/>
      </c>
      <c r="E1" s="381"/>
      <c r="G1" s="160" t="str">
        <f>IF(OR(B1=0,B1=" ",B1=""),0,"")</f>
        <v/>
      </c>
    </row>
    <row r="2" spans="1:7">
      <c r="A2" s="160" t="s">
        <v>49</v>
      </c>
      <c r="B2" s="167" t="str">
        <f>'General Overview'!C4</f>
        <v>Ducato</v>
      </c>
      <c r="C2" s="160" t="s">
        <v>222</v>
      </c>
      <c r="G2" s="160" t="str">
        <f t="shared" ref="G2:G27" si="0">IF(OR(B2=0,B2=" ",B2=""),0,"")</f>
        <v/>
      </c>
    </row>
    <row r="3" spans="1:7">
      <c r="A3" s="160" t="s">
        <v>223</v>
      </c>
      <c r="B3" s="163" t="str">
        <f>'General Overview'!C5</f>
        <v>2.2 MJT 180CV</v>
      </c>
      <c r="C3" s="160" t="s">
        <v>222</v>
      </c>
      <c r="G3" s="160" t="str">
        <f t="shared" si="0"/>
        <v/>
      </c>
    </row>
    <row r="4" spans="1:7">
      <c r="A4" s="160" t="s">
        <v>224</v>
      </c>
      <c r="B4" s="161" t="str">
        <f>'OVERALL RATING'!F2</f>
        <v>GOLD</v>
      </c>
      <c r="C4" s="160" t="s">
        <v>225</v>
      </c>
      <c r="G4" s="160" t="str">
        <f t="shared" si="0"/>
        <v/>
      </c>
    </row>
    <row r="5" spans="1:7">
      <c r="A5" s="160" t="s">
        <v>226</v>
      </c>
      <c r="B5" s="165">
        <f>'OVERALL RATING'!F14</f>
        <v>63</v>
      </c>
      <c r="C5" s="160" t="s">
        <v>227</v>
      </c>
      <c r="G5" s="160" t="str">
        <f t="shared" si="0"/>
        <v/>
      </c>
    </row>
    <row r="6" spans="1:7">
      <c r="A6" s="162" t="s">
        <v>228</v>
      </c>
    </row>
    <row r="7" spans="1:7">
      <c r="A7" s="160" t="s">
        <v>229</v>
      </c>
      <c r="B7" s="163" t="str">
        <f>'General Overview'!C6</f>
        <v>Medium wheel base</v>
      </c>
      <c r="C7" s="160" t="s">
        <v>212</v>
      </c>
      <c r="G7" s="160" t="str">
        <f t="shared" si="0"/>
        <v/>
      </c>
    </row>
    <row r="8" spans="1:7">
      <c r="A8" s="160" t="s">
        <v>230</v>
      </c>
      <c r="B8" s="163" t="str">
        <f>'General Overview'!C7</f>
        <v>N1</v>
      </c>
      <c r="C8" s="160" t="s">
        <v>222</v>
      </c>
      <c r="D8" s="160" t="s">
        <v>231</v>
      </c>
      <c r="G8" s="160" t="str">
        <f t="shared" si="0"/>
        <v/>
      </c>
    </row>
    <row r="9" spans="1:7">
      <c r="A9" s="160" t="s">
        <v>232</v>
      </c>
      <c r="B9" s="161">
        <f>'General Overview'!C9</f>
        <v>2015</v>
      </c>
      <c r="C9" s="160" t="s">
        <v>233</v>
      </c>
      <c r="G9" s="160" t="str">
        <f t="shared" si="0"/>
        <v/>
      </c>
    </row>
    <row r="10" spans="1:7">
      <c r="A10" s="160" t="s">
        <v>218</v>
      </c>
      <c r="B10" s="161">
        <f>'General Overview'!C11</f>
        <v>1485</v>
      </c>
      <c r="C10" s="160" t="s">
        <v>233</v>
      </c>
      <c r="G10" s="160" t="str">
        <f t="shared" si="0"/>
        <v/>
      </c>
    </row>
    <row r="11" spans="1:7">
      <c r="A11" s="160" t="s">
        <v>234</v>
      </c>
      <c r="B11" s="161">
        <f>'General Overview'!C12</f>
        <v>2757</v>
      </c>
      <c r="C11" s="160" t="s">
        <v>233</v>
      </c>
      <c r="G11" s="160" t="str">
        <f t="shared" si="0"/>
        <v/>
      </c>
    </row>
    <row r="12" spans="1:7">
      <c r="A12" s="160" t="s">
        <v>235</v>
      </c>
      <c r="B12" s="163" t="str">
        <f>'General Overview'!C17</f>
        <v>2022 on</v>
      </c>
      <c r="C12" s="160" t="s">
        <v>236</v>
      </c>
      <c r="G12" s="160" t="str">
        <f t="shared" si="0"/>
        <v/>
      </c>
    </row>
    <row r="13" spans="1:7">
      <c r="A13" s="162" t="s">
        <v>237</v>
      </c>
    </row>
    <row r="14" spans="1:7">
      <c r="A14" s="160" t="s">
        <v>196</v>
      </c>
      <c r="B14" s="161" t="str">
        <f>'N1 Fitment'!V35</f>
        <v>Std</v>
      </c>
      <c r="C14" s="160" t="s">
        <v>238</v>
      </c>
      <c r="G14" s="160" t="str">
        <f t="shared" si="0"/>
        <v/>
      </c>
    </row>
    <row r="15" spans="1:7">
      <c r="A15" s="160" t="s">
        <v>197</v>
      </c>
      <c r="B15" s="161" t="str">
        <f>'N1 Fitment'!X35</f>
        <v>Std</v>
      </c>
      <c r="C15" s="160" t="s">
        <v>238</v>
      </c>
      <c r="G15" s="160" t="str">
        <f t="shared" si="0"/>
        <v/>
      </c>
    </row>
    <row r="16" spans="1:7">
      <c r="A16" s="160" t="s">
        <v>166</v>
      </c>
      <c r="B16" s="161" t="str">
        <f>'N1 Fitment'!N35</f>
        <v>Opt</v>
      </c>
      <c r="C16" s="160" t="s">
        <v>238</v>
      </c>
      <c r="G16" s="160" t="str">
        <f t="shared" si="0"/>
        <v/>
      </c>
    </row>
    <row r="17" spans="1:24">
      <c r="A17" s="160" t="s">
        <v>69</v>
      </c>
      <c r="B17" s="161" t="str">
        <f>'N1 Fitment'!O35</f>
        <v>Opt</v>
      </c>
      <c r="C17" s="160" t="s">
        <v>238</v>
      </c>
      <c r="G17" s="160" t="str">
        <f t="shared" si="0"/>
        <v/>
      </c>
    </row>
    <row r="18" spans="1:24">
      <c r="A18" s="160" t="s">
        <v>128</v>
      </c>
      <c r="B18" s="161" t="str">
        <f>'N1 Fitment'!P35</f>
        <v>Opt</v>
      </c>
      <c r="C18" s="160" t="s">
        <v>238</v>
      </c>
      <c r="G18" s="160" t="str">
        <f t="shared" si="0"/>
        <v/>
      </c>
    </row>
    <row r="19" spans="1:24">
      <c r="A19" s="160" t="s">
        <v>175</v>
      </c>
      <c r="B19" s="161" t="str">
        <f>'N1 Fitment'!T35</f>
        <v>Opt</v>
      </c>
      <c r="C19" s="160" t="s">
        <v>238</v>
      </c>
      <c r="G19" s="160" t="str">
        <f t="shared" si="0"/>
        <v/>
      </c>
    </row>
    <row r="20" spans="1:24">
      <c r="A20" s="160" t="s">
        <v>82</v>
      </c>
      <c r="B20" s="161" t="str">
        <f>'N1 Fitment'!AD35</f>
        <v>Opt</v>
      </c>
      <c r="C20" s="160" t="s">
        <v>238</v>
      </c>
      <c r="G20" s="160" t="str">
        <f t="shared" si="0"/>
        <v/>
      </c>
    </row>
    <row r="21" spans="1:24">
      <c r="A21" s="160" t="s">
        <v>1</v>
      </c>
      <c r="B21" s="161" t="str">
        <f>'N1 Fitment'!AF35</f>
        <v>Opt</v>
      </c>
      <c r="C21" s="160" t="s">
        <v>238</v>
      </c>
      <c r="G21" s="160" t="str">
        <f t="shared" si="0"/>
        <v/>
      </c>
    </row>
    <row r="22" spans="1:24">
      <c r="A22" s="160" t="s">
        <v>220</v>
      </c>
      <c r="B22" s="163" t="str">
        <f>'OVERALL RATING'!B18</f>
        <v>The Ducato was comprehensively re-worked for 2022 and the 2023 van remains unchanged from last year's model.  Rated Platinum last year, the Ducato drops to Gold against Euro NCAP's tougher 2023 protocols.  Despite the drop in rating, the Ducato remains one of the best choices available for those van buyers looking for safety.</v>
      </c>
      <c r="C22" s="160" t="s">
        <v>222</v>
      </c>
      <c r="G22" s="160" t="str">
        <f t="shared" si="0"/>
        <v/>
      </c>
    </row>
    <row r="23" spans="1:24">
      <c r="A23" s="160" t="s">
        <v>221</v>
      </c>
      <c r="B23" s="163" t="str">
        <f>'OVERALL RATING'!B19</f>
        <v>In tests of its response to other vehicles, the autonomous emergency braking (AEB) system performed well at low speeds, even when the target was highly offset relative to the path of the test vehicle.  However, above a certain speed, there was little or no response.  This phenomenon was mirrored in the performance of the forward collision warning (FCW) system.  Similar behaviour was observed when the target in front of the Ducato was stationary and when the target was moving at a slower speed than it.  In tests where the target was braking, the Ducato managed to avoid collision, even when the gap between the van and the target was small and the target was braking heavily.  The AEB system responds to vulnerable road users and, in this regard, it performed well, although Euro NCAP was not able to test the vehicle against the updated scenarios of the 2023 protocols.  In the tests that were performed, collisions were avoided with adult and child pedestrian targets up to the highest test speeds. 
The Ducato offers lane keep assist (LKA), which helps to steer the vehicle back to its intended path if it is drifting out of lane.  The system even intervenes in some more critical situations to prevent the vehicle from leaving the road and, overall, performance was good with around half of the available points being scored.
A camera-based speed-limit information system identifies the local limit using traffic-sign recognition and provides this information to the driver.  The driver-set speed limiter maintained speed sufficiently accurately to meet Euro NCAP’s requirements and the system was rewarded.
A seatbelt reminder is standard equipment for all three front seats but only the system for the driver's seat met Euro NCAP's requirements.  A driver-status monitoring system is available to help combat fatigued/impaired driving.</v>
      </c>
      <c r="C23" s="160" t="s">
        <v>222</v>
      </c>
      <c r="G23" s="160" t="str">
        <f t="shared" si="0"/>
        <v/>
      </c>
    </row>
    <row r="24" spans="1:24">
      <c r="A24" s="162" t="s">
        <v>239</v>
      </c>
    </row>
    <row r="25" spans="1:24">
      <c r="A25" s="160" t="s">
        <v>240</v>
      </c>
      <c r="B25" s="161">
        <f>IF(B16="n/a","N/A$",'OVERALL RATING'!G6)</f>
        <v>15.474999999999998</v>
      </c>
      <c r="C25" s="160" t="s">
        <v>241</v>
      </c>
      <c r="G25" s="160" t="str">
        <f t="shared" si="0"/>
        <v/>
      </c>
    </row>
    <row r="26" spans="1:24">
      <c r="A26" s="160" t="s">
        <v>242</v>
      </c>
      <c r="B26" s="161" t="str" cm="1">
        <f t="array" ref="B26">IF(B16="N/A","Grey",Colour_ADAS('OVERALL RATING'!G6/'OVERALL RATING'!B6))</f>
        <v>Yellow</v>
      </c>
      <c r="C26" s="160" t="s">
        <v>243</v>
      </c>
      <c r="G26" s="160" t="str">
        <f t="shared" si="0"/>
        <v/>
      </c>
    </row>
    <row r="27" spans="1:24">
      <c r="A27" s="160" t="s">
        <v>244</v>
      </c>
      <c r="B27" s="161" t="str">
        <f>IF(B25="N/A$","N/A",CONCATENATE(IF('AEB Car-to-Car'!D7="YES","AEB",""),IF(AND('AEB Car-to-Car'!D7="YES",'AEB Car-to-Car'!I7="YES")," &amp; ",""),IF('AEB Car-to-Car'!I7="YES","FCW","")))</f>
        <v>AEB &amp; FCW</v>
      </c>
      <c r="C27" s="160" t="s">
        <v>222</v>
      </c>
      <c r="G27" s="160" t="str">
        <f t="shared" si="0"/>
        <v/>
      </c>
    </row>
    <row r="28" spans="1:24">
      <c r="A28" s="160" t="s">
        <v>245</v>
      </c>
      <c r="B28" s="161">
        <f>IF(B25="N/A$","N/A",MIN('AEB Car-to-Car'!D8,'AEB Car-to-Car'!I8))</f>
        <v>0</v>
      </c>
      <c r="C28" s="160" t="s">
        <v>222</v>
      </c>
      <c r="G28" s="160" t="str">
        <f>IF(OR(B28=" ",B28=""),0,"")</f>
        <v/>
      </c>
    </row>
    <row r="29" spans="1:24">
      <c r="A29" s="164" t="s">
        <v>246</v>
      </c>
      <c r="H29" s="392" t="s">
        <v>824</v>
      </c>
      <c r="M29" s="166"/>
      <c r="N29" s="166"/>
      <c r="O29" s="166"/>
      <c r="P29" s="166"/>
      <c r="Q29" s="166"/>
      <c r="T29" s="166"/>
      <c r="U29" s="166"/>
      <c r="V29" s="166"/>
      <c r="W29" s="166"/>
      <c r="X29" s="166"/>
    </row>
    <row r="30" spans="1:24">
      <c r="A30" s="160" t="s">
        <v>247</v>
      </c>
      <c r="C30" s="160" t="s">
        <v>243</v>
      </c>
      <c r="H30" s="392" t="s">
        <v>824</v>
      </c>
      <c r="M30" s="166"/>
      <c r="N30" s="166"/>
      <c r="O30" s="166"/>
      <c r="P30" s="166"/>
      <c r="Q30" s="166"/>
      <c r="T30" s="166"/>
      <c r="U30" s="166"/>
      <c r="V30" s="166"/>
      <c r="W30" s="166"/>
      <c r="X30" s="166"/>
    </row>
    <row r="31" spans="1:24">
      <c r="A31" s="160" t="s">
        <v>248</v>
      </c>
      <c r="C31" s="160" t="s">
        <v>243</v>
      </c>
      <c r="H31" s="392" t="s">
        <v>824</v>
      </c>
      <c r="M31" s="166"/>
      <c r="N31" s="166"/>
      <c r="O31" s="166"/>
      <c r="P31" s="166"/>
      <c r="Q31" s="166"/>
      <c r="T31" s="166"/>
      <c r="U31" s="166"/>
      <c r="V31" s="166"/>
      <c r="W31" s="166"/>
      <c r="X31" s="166"/>
    </row>
    <row r="32" spans="1:24">
      <c r="A32" s="160" t="s">
        <v>249</v>
      </c>
      <c r="C32" s="160" t="s">
        <v>243</v>
      </c>
      <c r="H32" s="392" t="s">
        <v>824</v>
      </c>
      <c r="M32" s="166"/>
      <c r="N32" s="166"/>
      <c r="O32" s="166"/>
      <c r="P32" s="166"/>
      <c r="Q32" s="166"/>
      <c r="T32" s="166"/>
      <c r="U32" s="166"/>
      <c r="V32" s="166"/>
      <c r="W32" s="166"/>
      <c r="X32" s="166"/>
    </row>
    <row r="33" spans="1:24">
      <c r="A33" s="160" t="s">
        <v>250</v>
      </c>
      <c r="C33" s="160" t="s">
        <v>243</v>
      </c>
      <c r="H33" s="392" t="s">
        <v>824</v>
      </c>
      <c r="M33" s="166"/>
      <c r="N33" s="166"/>
      <c r="O33" s="166"/>
      <c r="P33" s="166"/>
      <c r="Q33" s="166"/>
      <c r="T33" s="166"/>
      <c r="U33" s="166"/>
      <c r="V33" s="166"/>
      <c r="W33" s="166"/>
      <c r="X33" s="166"/>
    </row>
    <row r="34" spans="1:24">
      <c r="A34" s="160" t="s">
        <v>251</v>
      </c>
      <c r="C34" s="160" t="s">
        <v>243</v>
      </c>
      <c r="H34" s="392" t="s">
        <v>824</v>
      </c>
      <c r="M34" s="166"/>
      <c r="N34" s="166"/>
      <c r="O34" s="166"/>
      <c r="P34" s="166"/>
      <c r="Q34" s="166"/>
      <c r="T34" s="166"/>
      <c r="U34" s="166"/>
      <c r="V34" s="166"/>
      <c r="W34" s="166"/>
      <c r="X34" s="166"/>
    </row>
    <row r="35" spans="1:24">
      <c r="A35" s="160" t="s">
        <v>252</v>
      </c>
      <c r="C35" s="160" t="s">
        <v>243</v>
      </c>
      <c r="H35" s="392" t="s">
        <v>824</v>
      </c>
      <c r="M35" s="166"/>
      <c r="N35" s="166"/>
      <c r="O35" s="166"/>
      <c r="P35" s="166"/>
      <c r="Q35" s="166"/>
      <c r="T35" s="166"/>
      <c r="U35" s="166"/>
      <c r="V35" s="166"/>
      <c r="W35" s="166"/>
      <c r="X35" s="166"/>
    </row>
    <row r="36" spans="1:24">
      <c r="A36" s="160" t="s">
        <v>253</v>
      </c>
      <c r="C36" s="160" t="s">
        <v>243</v>
      </c>
      <c r="H36" s="392" t="s">
        <v>824</v>
      </c>
      <c r="M36" s="166"/>
      <c r="N36" s="166"/>
      <c r="O36" s="166"/>
      <c r="P36" s="166"/>
      <c r="Q36" s="166"/>
      <c r="T36" s="166"/>
      <c r="U36" s="166"/>
      <c r="V36" s="166"/>
      <c r="W36" s="166"/>
      <c r="X36" s="166"/>
    </row>
    <row r="37" spans="1:24">
      <c r="A37" s="164" t="s">
        <v>254</v>
      </c>
      <c r="H37" s="392" t="s">
        <v>824</v>
      </c>
      <c r="M37" s="166"/>
      <c r="N37" s="166"/>
      <c r="O37" s="166"/>
      <c r="P37" s="166"/>
      <c r="Q37" s="166"/>
      <c r="T37" s="166"/>
      <c r="U37" s="166"/>
      <c r="V37" s="166"/>
      <c r="W37" s="166"/>
      <c r="X37" s="166"/>
    </row>
    <row r="38" spans="1:24">
      <c r="A38" s="160" t="s">
        <v>255</v>
      </c>
      <c r="C38" s="160" t="s">
        <v>243</v>
      </c>
      <c r="H38" s="392" t="s">
        <v>824</v>
      </c>
      <c r="M38" s="827"/>
      <c r="N38" s="827"/>
      <c r="O38" s="379"/>
      <c r="P38" s="827"/>
      <c r="Q38" s="827"/>
      <c r="T38" s="166"/>
      <c r="U38" s="166"/>
      <c r="V38" s="166"/>
      <c r="W38" s="166"/>
      <c r="X38" s="166"/>
    </row>
    <row r="39" spans="1:24">
      <c r="A39" s="160" t="s">
        <v>256</v>
      </c>
      <c r="C39" s="160" t="s">
        <v>243</v>
      </c>
      <c r="H39" s="392" t="s">
        <v>824</v>
      </c>
      <c r="M39" s="828"/>
      <c r="N39" s="828"/>
      <c r="O39" s="380"/>
      <c r="P39" s="828"/>
      <c r="Q39" s="828"/>
      <c r="T39" s="166"/>
      <c r="U39" s="166"/>
      <c r="V39" s="166"/>
      <c r="W39" s="166"/>
      <c r="X39" s="166"/>
    </row>
    <row r="40" spans="1:24">
      <c r="A40" s="160" t="s">
        <v>257</v>
      </c>
      <c r="C40" s="160" t="s">
        <v>243</v>
      </c>
      <c r="H40" s="392" t="s">
        <v>824</v>
      </c>
      <c r="T40" s="827"/>
      <c r="U40" s="827"/>
      <c r="V40" s="379"/>
      <c r="W40" s="827"/>
      <c r="X40" s="827"/>
    </row>
    <row r="41" spans="1:24">
      <c r="A41" s="160" t="s">
        <v>258</v>
      </c>
      <c r="C41" s="160" t="s">
        <v>243</v>
      </c>
      <c r="H41" s="392" t="s">
        <v>824</v>
      </c>
      <c r="T41" s="828"/>
      <c r="U41" s="828"/>
      <c r="V41" s="380"/>
      <c r="W41" s="828"/>
      <c r="X41" s="828"/>
    </row>
    <row r="42" spans="1:24">
      <c r="A42" s="160" t="s">
        <v>259</v>
      </c>
      <c r="C42" s="160" t="s">
        <v>243</v>
      </c>
      <c r="H42" s="392" t="s">
        <v>824</v>
      </c>
    </row>
    <row r="43" spans="1:24">
      <c r="A43" s="160" t="s">
        <v>260</v>
      </c>
      <c r="C43" s="160" t="s">
        <v>243</v>
      </c>
      <c r="H43" s="392" t="s">
        <v>824</v>
      </c>
      <c r="M43" s="166"/>
      <c r="N43" s="166"/>
      <c r="O43" s="166"/>
      <c r="P43" s="166"/>
      <c r="Q43" s="166"/>
    </row>
    <row r="44" spans="1:24">
      <c r="A44" s="160" t="s">
        <v>261</v>
      </c>
      <c r="C44" s="160" t="s">
        <v>243</v>
      </c>
      <c r="H44" s="392" t="s">
        <v>824</v>
      </c>
      <c r="M44" s="166"/>
      <c r="N44" s="166"/>
      <c r="O44" s="166"/>
      <c r="P44" s="166"/>
      <c r="Q44" s="166"/>
    </row>
    <row r="45" spans="1:24">
      <c r="A45" s="160" t="s">
        <v>262</v>
      </c>
      <c r="B45" s="161">
        <f>IF(B17="n/a","N/A$",'OVERALL RATING'!G7)</f>
        <v>3.0488888888888894</v>
      </c>
      <c r="C45" s="160" t="s">
        <v>241</v>
      </c>
      <c r="G45" s="160" t="str">
        <f t="shared" ref="G45:G46" si="1">IF(OR(B45=0,B45=" ",B45=""),0,"")</f>
        <v/>
      </c>
      <c r="M45" s="166"/>
      <c r="N45" s="166"/>
      <c r="O45" s="166"/>
      <c r="P45" s="166"/>
      <c r="Q45" s="166"/>
    </row>
    <row r="46" spans="1:24">
      <c r="A46" s="160" t="s">
        <v>263</v>
      </c>
      <c r="B46" s="161" t="str" cm="1">
        <f t="array" ref="B46">IF(B17="N/A","Grey",Colour_ADAS('OVERALL RATING'!G7/'OVERALL RATING'!B7))</f>
        <v>Orange</v>
      </c>
      <c r="C46" s="160" t="s">
        <v>243</v>
      </c>
      <c r="G46" s="160" t="str">
        <f t="shared" si="1"/>
        <v/>
      </c>
      <c r="M46" s="166"/>
      <c r="N46" s="166"/>
      <c r="O46" s="166"/>
      <c r="P46" s="166"/>
      <c r="Q46" s="166"/>
    </row>
    <row r="47" spans="1:24">
      <c r="A47" s="160" t="s">
        <v>264</v>
      </c>
      <c r="C47" s="160" t="s">
        <v>243</v>
      </c>
      <c r="H47" s="392" t="s">
        <v>824</v>
      </c>
      <c r="M47" s="166"/>
      <c r="N47" s="166"/>
      <c r="O47" s="166"/>
      <c r="P47" s="166"/>
      <c r="Q47" s="166"/>
      <c r="T47" s="166"/>
      <c r="U47" s="168"/>
      <c r="V47" s="166"/>
      <c r="W47" s="166"/>
      <c r="X47" s="166"/>
    </row>
    <row r="48" spans="1:24">
      <c r="A48" s="160" t="s">
        <v>265</v>
      </c>
      <c r="C48" s="160" t="s">
        <v>243</v>
      </c>
      <c r="H48" s="392" t="s">
        <v>824</v>
      </c>
      <c r="M48" s="166"/>
      <c r="N48" s="166"/>
      <c r="O48" s="166"/>
      <c r="P48" s="166"/>
      <c r="Q48" s="166"/>
      <c r="T48" s="166"/>
      <c r="U48" s="166"/>
      <c r="V48" s="166"/>
      <c r="W48" s="166"/>
      <c r="X48" s="166"/>
    </row>
    <row r="49" spans="1:24">
      <c r="A49" s="160" t="s">
        <v>266</v>
      </c>
      <c r="C49" s="160" t="s">
        <v>243</v>
      </c>
      <c r="H49" s="392" t="s">
        <v>824</v>
      </c>
      <c r="M49" s="166"/>
      <c r="N49" s="166"/>
      <c r="O49" s="166"/>
      <c r="P49" s="166"/>
      <c r="Q49" s="166"/>
      <c r="T49" s="166"/>
      <c r="U49" s="166"/>
      <c r="V49" s="166"/>
      <c r="W49" s="166"/>
      <c r="X49" s="166"/>
    </row>
    <row r="50" spans="1:24">
      <c r="A50" s="160" t="s">
        <v>267</v>
      </c>
      <c r="B50" s="161">
        <f>IF(B18="n/a","N/A$",'OVERALL RATING'!G8)</f>
        <v>5</v>
      </c>
      <c r="C50" s="160" t="s">
        <v>241</v>
      </c>
      <c r="G50" s="160" t="str">
        <f t="shared" ref="G50:G51" si="2">IF(OR(B50=0,B50=" ",B50=""),0,"")</f>
        <v/>
      </c>
      <c r="M50" s="166"/>
      <c r="N50" s="166"/>
      <c r="O50" s="166"/>
      <c r="P50" s="166"/>
      <c r="Q50" s="166"/>
      <c r="T50" s="166"/>
      <c r="U50" s="166"/>
      <c r="V50" s="166"/>
      <c r="W50" s="166"/>
      <c r="X50" s="166"/>
    </row>
    <row r="51" spans="1:24">
      <c r="A51" s="160" t="s">
        <v>268</v>
      </c>
      <c r="B51" s="161" t="str" cm="1">
        <f t="array" ref="B51">IF(B18="N/A","Grey",Colour_ADAS('OVERALL RATING'!G8/'OVERALL RATING'!B8))</f>
        <v>Yellow</v>
      </c>
      <c r="C51" s="160" t="s">
        <v>243</v>
      </c>
      <c r="G51" s="160" t="str">
        <f t="shared" si="2"/>
        <v/>
      </c>
      <c r="M51" s="166"/>
      <c r="N51" s="166"/>
      <c r="O51" s="166"/>
      <c r="P51" s="166"/>
      <c r="Q51" s="166"/>
      <c r="T51" s="166"/>
      <c r="U51" s="166"/>
      <c r="V51" s="166"/>
      <c r="W51" s="166"/>
      <c r="X51" s="166"/>
    </row>
    <row r="52" spans="1:24">
      <c r="A52" s="160" t="s">
        <v>269</v>
      </c>
      <c r="C52" s="160" t="s">
        <v>243</v>
      </c>
      <c r="H52" s="392" t="s">
        <v>824</v>
      </c>
      <c r="M52" s="166"/>
      <c r="N52" s="166"/>
      <c r="O52" s="166"/>
      <c r="P52" s="166"/>
      <c r="Q52" s="166"/>
      <c r="T52" s="166"/>
      <c r="U52" s="166"/>
      <c r="V52" s="166"/>
      <c r="W52" s="166"/>
      <c r="X52" s="166"/>
    </row>
    <row r="53" spans="1:24">
      <c r="A53" s="160" t="s">
        <v>270</v>
      </c>
      <c r="C53" s="160" t="s">
        <v>243</v>
      </c>
      <c r="H53" s="392" t="s">
        <v>824</v>
      </c>
      <c r="M53" s="166"/>
      <c r="N53" s="166"/>
      <c r="O53" s="166"/>
      <c r="P53" s="166"/>
      <c r="Q53" s="166"/>
      <c r="T53" s="166"/>
      <c r="U53" s="166"/>
      <c r="V53" s="166"/>
      <c r="W53" s="166"/>
      <c r="X53" s="166"/>
    </row>
    <row r="54" spans="1:24">
      <c r="A54" s="160" t="s">
        <v>271</v>
      </c>
      <c r="B54" s="161">
        <f>IF(B21="N/A","N/A$",'OVERALL RATING'!G10)</f>
        <v>11.25</v>
      </c>
      <c r="C54" s="160" t="s">
        <v>241</v>
      </c>
      <c r="G54" s="160" t="str">
        <f t="shared" ref="G54:G57" si="3">IF(OR(B54=0,B54=" ",B54=""),0,"")</f>
        <v/>
      </c>
      <c r="M54" s="827"/>
      <c r="N54" s="827"/>
      <c r="O54" s="379"/>
      <c r="P54" s="827"/>
      <c r="Q54" s="827"/>
      <c r="T54" s="827"/>
      <c r="U54" s="827"/>
      <c r="V54" s="379"/>
      <c r="W54" s="827"/>
      <c r="X54" s="827"/>
    </row>
    <row r="55" spans="1:24">
      <c r="A55" s="160" t="s">
        <v>272</v>
      </c>
      <c r="B55" s="161" t="str" cm="1">
        <f t="array" ref="B55">IF(B54="N/A$","Grey",Colour_ADAS('OVERALL RATING'!G10/'OVERALL RATING'!B10))</f>
        <v>Green</v>
      </c>
      <c r="C55" s="160" t="s">
        <v>243</v>
      </c>
      <c r="G55" s="160" t="str">
        <f t="shared" si="3"/>
        <v/>
      </c>
      <c r="M55" s="828"/>
      <c r="N55" s="828"/>
      <c r="O55" s="380"/>
      <c r="P55" s="828"/>
      <c r="Q55" s="828"/>
      <c r="T55" s="828"/>
      <c r="U55" s="828"/>
      <c r="V55" s="380"/>
      <c r="W55" s="828"/>
      <c r="X55" s="828"/>
    </row>
    <row r="56" spans="1:24">
      <c r="A56" s="160" t="s">
        <v>273</v>
      </c>
      <c r="B56" s="161" t="str">
        <f>IF('SAS 2020'!D10=0,"N/A",'SAS 2020'!D10)</f>
        <v>Camera based</v>
      </c>
      <c r="C56" s="160" t="s">
        <v>222</v>
      </c>
      <c r="G56" s="160" t="str">
        <f t="shared" si="3"/>
        <v/>
      </c>
    </row>
    <row r="57" spans="1:24">
      <c r="A57" s="160" t="s">
        <v>274</v>
      </c>
      <c r="B57" s="161" t="str">
        <f>IF('SAS 2020'!D32=0,"N/A",'SAS 2020'!D32)</f>
        <v>System advised</v>
      </c>
      <c r="C57" s="160" t="s">
        <v>222</v>
      </c>
      <c r="G57" s="160" t="str">
        <f t="shared" si="3"/>
        <v/>
      </c>
    </row>
    <row r="58" spans="1:24">
      <c r="A58" s="160" t="s">
        <v>275</v>
      </c>
      <c r="B58" s="161">
        <f>IF('N1 Fitment'!AE35="N/A","N/A$",'OVERALL RATING'!G11)</f>
        <v>15</v>
      </c>
      <c r="C58" s="160" t="s">
        <v>241</v>
      </c>
      <c r="G58" s="160" t="str">
        <f>IF(OR(B58=" ",B58=""),0,"")</f>
        <v/>
      </c>
    </row>
    <row r="59" spans="1:24">
      <c r="A59" s="160" t="s">
        <v>276</v>
      </c>
      <c r="B59" s="161" t="str" cm="1">
        <f t="array" ref="B59">IF(B58="N/A$","Grey",Colour_ADAS('OVERALL RATING'!G11/'OVERALL RATING'!B11))</f>
        <v>Green</v>
      </c>
      <c r="C59" s="160" t="s">
        <v>243</v>
      </c>
      <c r="G59" s="160" t="str">
        <f t="shared" ref="G59:G68" si="4">IF(OR(B59=0,B59=" ",B59=""),0,"")</f>
        <v/>
      </c>
    </row>
    <row r="60" spans="1:24">
      <c r="A60" s="160" t="s">
        <v>277</v>
      </c>
      <c r="B60" s="161" t="str">
        <f>IF('N1 Fitment'!T35="N/A","N/A",IF(OSM!D14&gt;0,"Pass","Fail"))</f>
        <v>Pass</v>
      </c>
      <c r="C60" s="381" t="s">
        <v>357</v>
      </c>
      <c r="G60" s="160" t="str">
        <f t="shared" si="4"/>
        <v/>
      </c>
    </row>
    <row r="61" spans="1:24">
      <c r="A61" s="160" t="s">
        <v>278</v>
      </c>
      <c r="B61" s="163" t="str">
        <f>OSM!D7</f>
        <v>PASS</v>
      </c>
      <c r="C61" s="381" t="s">
        <v>357</v>
      </c>
      <c r="G61" s="160" t="str">
        <f t="shared" si="4"/>
        <v/>
      </c>
    </row>
    <row r="62" spans="1:24">
      <c r="A62" s="160" t="s">
        <v>279</v>
      </c>
      <c r="B62" s="163" t="str">
        <f>OSM!D8</f>
        <v>PASS</v>
      </c>
      <c r="C62" s="381" t="s">
        <v>357</v>
      </c>
      <c r="G62" s="160" t="str">
        <f t="shared" si="4"/>
        <v/>
      </c>
    </row>
    <row r="63" spans="1:24">
      <c r="A63" s="160" t="s">
        <v>280</v>
      </c>
      <c r="B63" s="163" t="str">
        <f>OSM!F7</f>
        <v>PASS</v>
      </c>
      <c r="C63" s="381" t="s">
        <v>357</v>
      </c>
      <c r="G63" s="160" t="str">
        <f t="shared" si="4"/>
        <v/>
      </c>
    </row>
    <row r="64" spans="1:24">
      <c r="A64" s="160" t="s">
        <v>281</v>
      </c>
      <c r="B64" s="163" t="str">
        <f>OSM!F8</f>
        <v>PASS</v>
      </c>
      <c r="C64" s="381" t="s">
        <v>357</v>
      </c>
      <c r="G64" s="160" t="str">
        <f t="shared" si="4"/>
        <v/>
      </c>
    </row>
    <row r="65" spans="1:7">
      <c r="A65" s="160" t="s">
        <v>282</v>
      </c>
      <c r="B65" s="163" t="str">
        <f>OSM!F6</f>
        <v>PASS</v>
      </c>
      <c r="C65" s="381" t="s">
        <v>357</v>
      </c>
      <c r="G65" s="160" t="str">
        <f t="shared" si="4"/>
        <v/>
      </c>
    </row>
    <row r="66" spans="1:7">
      <c r="A66" s="160" t="s">
        <v>283</v>
      </c>
      <c r="B66" s="161">
        <f>IF(B20="N/A","N/A$",'OVERALL RATING'!G9)</f>
        <v>13.75</v>
      </c>
      <c r="C66" s="160" t="s">
        <v>241</v>
      </c>
      <c r="G66" s="160" t="str">
        <f t="shared" si="4"/>
        <v/>
      </c>
    </row>
    <row r="67" spans="1:7">
      <c r="A67" s="160" t="s">
        <v>284</v>
      </c>
      <c r="B67" s="161" t="str" cm="1">
        <f t="array" ref="B67">IF(B66="N/A$","Grey",Colour_ADAS('OVERALL RATING'!G9/'OVERALL RATING'!B9))</f>
        <v>Yellow</v>
      </c>
      <c r="C67" s="160" t="s">
        <v>243</v>
      </c>
      <c r="G67" s="160" t="str">
        <f t="shared" si="4"/>
        <v/>
      </c>
    </row>
    <row r="68" spans="1:7">
      <c r="A68" s="160" t="s">
        <v>285</v>
      </c>
      <c r="B68" s="161"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ELK/LKA, LDW &amp; BLIS</v>
      </c>
      <c r="C68" s="160" t="s">
        <v>222</v>
      </c>
      <c r="G68" s="160" t="str">
        <f t="shared" si="4"/>
        <v/>
      </c>
    </row>
    <row r="69" spans="1:7">
      <c r="A69" s="160" t="s">
        <v>286</v>
      </c>
      <c r="B69" s="382">
        <f>IF(B20="N/A","N/A",LSS!D9)</f>
        <v>0</v>
      </c>
      <c r="C69" s="160" t="s">
        <v>222</v>
      </c>
      <c r="G69" s="160" t="str">
        <f>IF(OR(B69=" ",B69=""),0,"")</f>
        <v/>
      </c>
    </row>
    <row r="70" spans="1:7">
      <c r="A70" s="160" t="s">
        <v>287</v>
      </c>
      <c r="B70" s="161" t="str" cm="1">
        <f t="array" ref="B70">IF('N1 Fitment'!Q35="N/A","N/A",Colour_ADAS(LSS!D68/3))</f>
        <v>Yellow</v>
      </c>
      <c r="C70" s="381" t="s">
        <v>243</v>
      </c>
      <c r="G70" s="160" t="str">
        <f t="shared" ref="G70:G133" si="5">IF(OR(B70=0,B70=" ",B70=""),0,"")</f>
        <v/>
      </c>
    </row>
    <row r="71" spans="1:7">
      <c r="A71" s="160" t="s">
        <v>288</v>
      </c>
      <c r="B71" s="382" t="str">
        <f>IF('N1 Fitment'!R35="N/A","N/A",LSS!D63)</f>
        <v>PASS</v>
      </c>
      <c r="C71" s="381" t="s">
        <v>357</v>
      </c>
      <c r="G71" s="160" t="str">
        <f t="shared" si="5"/>
        <v/>
      </c>
    </row>
    <row r="72" spans="1:7">
      <c r="A72" s="160" t="s">
        <v>289</v>
      </c>
      <c r="B72" s="382" t="str">
        <f>IF('N1 Fitment'!S35="N/A","N/A",LSS!D64)</f>
        <v>PASS</v>
      </c>
      <c r="C72" s="381" t="s">
        <v>357</v>
      </c>
      <c r="G72" s="160" t="str">
        <f t="shared" si="5"/>
        <v/>
      </c>
    </row>
    <row r="73" spans="1:7">
      <c r="A73" s="162" t="s">
        <v>290</v>
      </c>
    </row>
    <row r="74" spans="1:7">
      <c r="A74" s="160" t="s">
        <v>447</v>
      </c>
      <c r="B74" s="233" t="str">
        <f>'N1 Fitment'!N6</f>
        <v>Opt1</v>
      </c>
      <c r="C74" s="160" t="s">
        <v>238</v>
      </c>
      <c r="G74" s="160" t="str">
        <f t="shared" si="5"/>
        <v/>
      </c>
    </row>
    <row r="75" spans="1:7">
      <c r="A75" s="160" t="s">
        <v>448</v>
      </c>
      <c r="B75" s="233" t="str">
        <f>'N1 Fitment'!N7</f>
        <v>Opt1</v>
      </c>
      <c r="C75" s="160" t="s">
        <v>238</v>
      </c>
      <c r="G75" s="160" t="str">
        <f t="shared" si="5"/>
        <v/>
      </c>
    </row>
    <row r="76" spans="1:7">
      <c r="A76" s="160" t="s">
        <v>449</v>
      </c>
      <c r="B76" s="166" t="str">
        <f>'N1 Fitment'!N8</f>
        <v>Opt1</v>
      </c>
      <c r="C76" s="160" t="s">
        <v>238</v>
      </c>
      <c r="G76" s="160" t="str">
        <f t="shared" si="5"/>
        <v/>
      </c>
    </row>
    <row r="77" spans="1:7">
      <c r="A77" s="160" t="s">
        <v>450</v>
      </c>
      <c r="B77" s="166" t="str">
        <f>'N1 Fitment'!N9</f>
        <v>Opt1</v>
      </c>
      <c r="C77" s="160" t="s">
        <v>238</v>
      </c>
      <c r="G77" s="160" t="str">
        <f t="shared" si="5"/>
        <v/>
      </c>
    </row>
    <row r="78" spans="1:7">
      <c r="A78" s="160" t="s">
        <v>451</v>
      </c>
      <c r="B78" s="166" t="str">
        <f>'N1 Fitment'!N10</f>
        <v>Opt1</v>
      </c>
      <c r="C78" s="160" t="s">
        <v>238</v>
      </c>
      <c r="G78" s="160" t="str">
        <f t="shared" si="5"/>
        <v/>
      </c>
    </row>
    <row r="79" spans="1:7">
      <c r="A79" s="160" t="s">
        <v>452</v>
      </c>
      <c r="B79" s="166" t="str">
        <f>'N1 Fitment'!N11</f>
        <v>Opt1</v>
      </c>
      <c r="C79" s="160" t="s">
        <v>238</v>
      </c>
      <c r="G79" s="160" t="str">
        <f t="shared" si="5"/>
        <v/>
      </c>
    </row>
    <row r="80" spans="1:7">
      <c r="A80" s="160" t="s">
        <v>453</v>
      </c>
      <c r="B80" s="166" t="str">
        <f>'N1 Fitment'!N12</f>
        <v>Opt1</v>
      </c>
      <c r="C80" s="160" t="s">
        <v>238</v>
      </c>
      <c r="G80" s="160" t="str">
        <f t="shared" si="5"/>
        <v/>
      </c>
    </row>
    <row r="81" spans="1:7">
      <c r="A81" s="160" t="s">
        <v>454</v>
      </c>
      <c r="B81" s="166" t="str">
        <f>'N1 Fitment'!N13</f>
        <v>Opt1</v>
      </c>
      <c r="C81" s="160" t="s">
        <v>238</v>
      </c>
      <c r="G81" s="160" t="str">
        <f t="shared" si="5"/>
        <v/>
      </c>
    </row>
    <row r="82" spans="1:7">
      <c r="A82" s="160" t="s">
        <v>455</v>
      </c>
      <c r="B82" s="166" t="str">
        <f>'N1 Fitment'!N14</f>
        <v>Opt1</v>
      </c>
      <c r="C82" s="160" t="s">
        <v>238</v>
      </c>
      <c r="G82" s="160" t="str">
        <f t="shared" si="5"/>
        <v/>
      </c>
    </row>
    <row r="83" spans="1:7">
      <c r="A83" s="160" t="s">
        <v>291</v>
      </c>
      <c r="B83" s="166" t="str">
        <f>'N1 Fitment'!N15</f>
        <v>Opt1</v>
      </c>
      <c r="C83" s="160" t="s">
        <v>238</v>
      </c>
      <c r="G83" s="160" t="str">
        <f t="shared" si="5"/>
        <v/>
      </c>
    </row>
    <row r="84" spans="1:7">
      <c r="A84" s="160" t="s">
        <v>292</v>
      </c>
      <c r="B84" s="166" t="str">
        <f>'N1 Fitment'!N16</f>
        <v>Opt1</v>
      </c>
      <c r="C84" s="160" t="s">
        <v>238</v>
      </c>
      <c r="G84" s="160" t="str">
        <f t="shared" si="5"/>
        <v/>
      </c>
    </row>
    <row r="85" spans="1:7">
      <c r="A85" s="160" t="s">
        <v>456</v>
      </c>
      <c r="B85" s="166" t="str">
        <f>'N1 Fitment'!N17</f>
        <v>Opt1</v>
      </c>
      <c r="C85" s="160" t="s">
        <v>238</v>
      </c>
      <c r="G85" s="160" t="str">
        <f t="shared" si="5"/>
        <v/>
      </c>
    </row>
    <row r="86" spans="1:7">
      <c r="A86" s="160" t="s">
        <v>457</v>
      </c>
      <c r="B86" s="166" t="str">
        <f>'N1 Fitment'!N18</f>
        <v>Opt1</v>
      </c>
      <c r="C86" s="160" t="s">
        <v>238</v>
      </c>
      <c r="G86" s="160" t="str">
        <f t="shared" si="5"/>
        <v/>
      </c>
    </row>
    <row r="87" spans="1:7">
      <c r="A87" s="160" t="s">
        <v>458</v>
      </c>
      <c r="B87" s="166" t="str">
        <f>'N1 Fitment'!N19</f>
        <v>Opt1</v>
      </c>
      <c r="C87" s="160" t="s">
        <v>238</v>
      </c>
      <c r="G87" s="160" t="str">
        <f t="shared" si="5"/>
        <v/>
      </c>
    </row>
    <row r="88" spans="1:7">
      <c r="A88" s="160" t="s">
        <v>293</v>
      </c>
      <c r="B88" s="166" t="str">
        <f>'N1 Fitment'!N20</f>
        <v>Opt1</v>
      </c>
      <c r="C88" s="160" t="s">
        <v>238</v>
      </c>
      <c r="G88" s="160" t="str">
        <f t="shared" si="5"/>
        <v/>
      </c>
    </row>
    <row r="89" spans="1:7">
      <c r="A89" s="160" t="s">
        <v>459</v>
      </c>
      <c r="B89" s="166" t="str">
        <f>'N1 Fitment'!N21</f>
        <v>Opt1</v>
      </c>
      <c r="C89" s="160" t="s">
        <v>238</v>
      </c>
      <c r="G89" s="160" t="str">
        <f t="shared" si="5"/>
        <v/>
      </c>
    </row>
    <row r="90" spans="1:7">
      <c r="A90" s="160" t="s">
        <v>460</v>
      </c>
      <c r="B90" s="166" t="str">
        <f>'N1 Fitment'!N22</f>
        <v>Opt1</v>
      </c>
      <c r="C90" s="160" t="s">
        <v>238</v>
      </c>
      <c r="G90" s="160" t="str">
        <f t="shared" si="5"/>
        <v/>
      </c>
    </row>
    <row r="91" spans="1:7">
      <c r="A91" s="160" t="s">
        <v>294</v>
      </c>
      <c r="B91" s="166" t="str">
        <f>'N1 Fitment'!N23</f>
        <v>Opt1</v>
      </c>
      <c r="C91" s="160" t="s">
        <v>238</v>
      </c>
      <c r="G91" s="160" t="str">
        <f t="shared" si="5"/>
        <v/>
      </c>
    </row>
    <row r="92" spans="1:7">
      <c r="A92" s="160" t="s">
        <v>461</v>
      </c>
      <c r="B92" s="166" t="str">
        <f>'N1 Fitment'!N24</f>
        <v>Opt1</v>
      </c>
      <c r="C92" s="160" t="s">
        <v>238</v>
      </c>
      <c r="G92" s="160" t="str">
        <f t="shared" si="5"/>
        <v/>
      </c>
    </row>
    <row r="93" spans="1:7">
      <c r="A93" s="160" t="s">
        <v>296</v>
      </c>
      <c r="B93" s="166" t="str">
        <f>'N1 Fitment'!N25</f>
        <v>Opt1</v>
      </c>
      <c r="C93" s="160" t="s">
        <v>238</v>
      </c>
      <c r="G93" s="160" t="str">
        <f t="shared" si="5"/>
        <v/>
      </c>
    </row>
    <row r="94" spans="1:7">
      <c r="A94" s="160" t="s">
        <v>462</v>
      </c>
      <c r="B94" s="166" t="str">
        <f>'N1 Fitment'!N27</f>
        <v>Opt1</v>
      </c>
      <c r="C94" s="160" t="s">
        <v>238</v>
      </c>
      <c r="G94" s="160" t="str">
        <f t="shared" si="5"/>
        <v/>
      </c>
    </row>
    <row r="95" spans="1:7">
      <c r="A95" s="160" t="s">
        <v>463</v>
      </c>
      <c r="B95" s="166" t="str">
        <f>'N1 Fitment'!N28</f>
        <v>Opt1</v>
      </c>
      <c r="C95" s="160" t="s">
        <v>238</v>
      </c>
      <c r="G95" s="160" t="str">
        <f t="shared" si="5"/>
        <v/>
      </c>
    </row>
    <row r="96" spans="1:7">
      <c r="A96" s="160" t="s">
        <v>464</v>
      </c>
      <c r="B96" s="166" t="str">
        <f>'N1 Fitment'!N29</f>
        <v>Opt1</v>
      </c>
      <c r="C96" s="160" t="s">
        <v>238</v>
      </c>
      <c r="G96" s="160" t="str">
        <f t="shared" si="5"/>
        <v/>
      </c>
    </row>
    <row r="97" spans="1:7">
      <c r="A97" s="160" t="s">
        <v>465</v>
      </c>
      <c r="B97" s="166" t="str">
        <f>'N1 Fitment'!N30</f>
        <v>Opt1</v>
      </c>
      <c r="C97" s="160" t="s">
        <v>238</v>
      </c>
      <c r="G97" s="160" t="str">
        <f t="shared" si="5"/>
        <v/>
      </c>
    </row>
    <row r="98" spans="1:7">
      <c r="A98" s="160" t="s">
        <v>466</v>
      </c>
      <c r="B98" s="166" t="str">
        <f>'N1 Fitment'!N31</f>
        <v>Opt1</v>
      </c>
      <c r="C98" s="160" t="s">
        <v>238</v>
      </c>
      <c r="G98" s="160" t="str">
        <f t="shared" si="5"/>
        <v/>
      </c>
    </row>
    <row r="99" spans="1:7">
      <c r="A99" s="160" t="s">
        <v>295</v>
      </c>
      <c r="B99" s="166" t="str">
        <f>'N1 Fitment'!N32</f>
        <v>Opt1</v>
      </c>
      <c r="C99" s="160" t="s">
        <v>238</v>
      </c>
      <c r="G99" s="160" t="str">
        <f t="shared" si="5"/>
        <v/>
      </c>
    </row>
    <row r="100" spans="1:7">
      <c r="A100" s="160" t="s">
        <v>467</v>
      </c>
      <c r="B100" s="166" t="str">
        <f>'N1 Fitment'!N33</f>
        <v>Opt1</v>
      </c>
      <c r="C100" s="160" t="s">
        <v>238</v>
      </c>
      <c r="G100" s="160" t="str">
        <f t="shared" si="5"/>
        <v/>
      </c>
    </row>
    <row r="101" spans="1:7">
      <c r="A101" s="160" t="s">
        <v>468</v>
      </c>
      <c r="B101" s="166" t="str">
        <f>'N1 Fitment'!N34</f>
        <v>Opt1</v>
      </c>
      <c r="C101" s="160" t="s">
        <v>238</v>
      </c>
      <c r="G101" s="160" t="str">
        <f t="shared" si="5"/>
        <v/>
      </c>
    </row>
    <row r="102" spans="1:7">
      <c r="A102" s="160" t="s">
        <v>469</v>
      </c>
      <c r="B102" s="166" t="str">
        <f>'N1 Fitment'!O6</f>
        <v>Opt1</v>
      </c>
      <c r="C102" s="160" t="s">
        <v>238</v>
      </c>
      <c r="G102" s="160" t="str">
        <f t="shared" si="5"/>
        <v/>
      </c>
    </row>
    <row r="103" spans="1:7">
      <c r="A103" s="160" t="s">
        <v>470</v>
      </c>
      <c r="B103" s="166" t="str">
        <f>'N1 Fitment'!O7</f>
        <v>Opt1</v>
      </c>
      <c r="C103" s="160" t="s">
        <v>238</v>
      </c>
      <c r="G103" s="160" t="str">
        <f t="shared" si="5"/>
        <v/>
      </c>
    </row>
    <row r="104" spans="1:7">
      <c r="A104" s="160" t="s">
        <v>471</v>
      </c>
      <c r="B104" s="166" t="str">
        <f>'N1 Fitment'!O8</f>
        <v>Opt1</v>
      </c>
      <c r="C104" s="160" t="s">
        <v>238</v>
      </c>
      <c r="G104" s="160" t="str">
        <f t="shared" si="5"/>
        <v/>
      </c>
    </row>
    <row r="105" spans="1:7">
      <c r="A105" s="160" t="s">
        <v>472</v>
      </c>
      <c r="B105" s="166" t="str">
        <f>'N1 Fitment'!O9</f>
        <v>Opt1</v>
      </c>
      <c r="C105" s="160" t="s">
        <v>238</v>
      </c>
      <c r="G105" s="160" t="str">
        <f t="shared" si="5"/>
        <v/>
      </c>
    </row>
    <row r="106" spans="1:7">
      <c r="A106" s="160" t="s">
        <v>473</v>
      </c>
      <c r="B106" s="166" t="str">
        <f>'N1 Fitment'!O10</f>
        <v>Opt1</v>
      </c>
      <c r="C106" s="160" t="s">
        <v>238</v>
      </c>
      <c r="G106" s="160" t="str">
        <f t="shared" si="5"/>
        <v/>
      </c>
    </row>
    <row r="107" spans="1:7">
      <c r="A107" s="160" t="s">
        <v>474</v>
      </c>
      <c r="B107" s="166" t="str">
        <f>'N1 Fitment'!O11</f>
        <v>Opt1</v>
      </c>
      <c r="C107" s="160" t="s">
        <v>238</v>
      </c>
      <c r="G107" s="160" t="str">
        <f t="shared" si="5"/>
        <v/>
      </c>
    </row>
    <row r="108" spans="1:7">
      <c r="A108" s="160" t="s">
        <v>475</v>
      </c>
      <c r="B108" s="166" t="str">
        <f>'N1 Fitment'!O12</f>
        <v>Opt1</v>
      </c>
      <c r="C108" s="160" t="s">
        <v>238</v>
      </c>
      <c r="G108" s="160" t="str">
        <f t="shared" si="5"/>
        <v/>
      </c>
    </row>
    <row r="109" spans="1:7">
      <c r="A109" s="160" t="s">
        <v>476</v>
      </c>
      <c r="B109" s="166" t="str">
        <f>'N1 Fitment'!O13</f>
        <v>Opt1</v>
      </c>
      <c r="C109" s="160" t="s">
        <v>238</v>
      </c>
      <c r="G109" s="160" t="str">
        <f t="shared" si="5"/>
        <v/>
      </c>
    </row>
    <row r="110" spans="1:7">
      <c r="A110" s="160" t="s">
        <v>477</v>
      </c>
      <c r="B110" s="166" t="str">
        <f>'N1 Fitment'!O14</f>
        <v>Opt1</v>
      </c>
      <c r="C110" s="160" t="s">
        <v>238</v>
      </c>
      <c r="G110" s="160" t="str">
        <f t="shared" si="5"/>
        <v/>
      </c>
    </row>
    <row r="111" spans="1:7">
      <c r="A111" s="160" t="s">
        <v>297</v>
      </c>
      <c r="B111" s="166" t="str">
        <f>'N1 Fitment'!O15</f>
        <v>Opt1</v>
      </c>
      <c r="C111" s="160" t="s">
        <v>238</v>
      </c>
      <c r="G111" s="160" t="str">
        <f t="shared" si="5"/>
        <v/>
      </c>
    </row>
    <row r="112" spans="1:7">
      <c r="A112" s="160" t="s">
        <v>298</v>
      </c>
      <c r="B112" s="166" t="str">
        <f>'N1 Fitment'!O16</f>
        <v>Opt1</v>
      </c>
      <c r="C112" s="160" t="s">
        <v>238</v>
      </c>
      <c r="G112" s="160" t="str">
        <f t="shared" si="5"/>
        <v/>
      </c>
    </row>
    <row r="113" spans="1:7">
      <c r="A113" s="160" t="s">
        <v>478</v>
      </c>
      <c r="B113" s="166" t="str">
        <f>'N1 Fitment'!O17</f>
        <v>Opt1</v>
      </c>
      <c r="C113" s="160" t="s">
        <v>238</v>
      </c>
      <c r="G113" s="160" t="str">
        <f t="shared" si="5"/>
        <v/>
      </c>
    </row>
    <row r="114" spans="1:7">
      <c r="A114" s="160" t="s">
        <v>479</v>
      </c>
      <c r="B114" s="166" t="str">
        <f>'N1 Fitment'!O18</f>
        <v>Opt1</v>
      </c>
      <c r="C114" s="160" t="s">
        <v>238</v>
      </c>
      <c r="G114" s="160" t="str">
        <f t="shared" si="5"/>
        <v/>
      </c>
    </row>
    <row r="115" spans="1:7">
      <c r="A115" s="160" t="s">
        <v>480</v>
      </c>
      <c r="B115" s="166" t="str">
        <f>'N1 Fitment'!O19</f>
        <v>Opt1</v>
      </c>
      <c r="C115" s="160" t="s">
        <v>238</v>
      </c>
      <c r="G115" s="160" t="str">
        <f t="shared" si="5"/>
        <v/>
      </c>
    </row>
    <row r="116" spans="1:7">
      <c r="A116" s="160" t="s">
        <v>299</v>
      </c>
      <c r="B116" s="166" t="str">
        <f>'N1 Fitment'!O20</f>
        <v>Opt1</v>
      </c>
      <c r="C116" s="160" t="s">
        <v>238</v>
      </c>
      <c r="G116" s="160" t="str">
        <f t="shared" si="5"/>
        <v/>
      </c>
    </row>
    <row r="117" spans="1:7">
      <c r="A117" s="160" t="s">
        <v>481</v>
      </c>
      <c r="B117" s="166" t="str">
        <f>'N1 Fitment'!O21</f>
        <v>Opt1</v>
      </c>
      <c r="C117" s="160" t="s">
        <v>238</v>
      </c>
      <c r="G117" s="160" t="str">
        <f t="shared" si="5"/>
        <v/>
      </c>
    </row>
    <row r="118" spans="1:7">
      <c r="A118" s="160" t="s">
        <v>482</v>
      </c>
      <c r="B118" s="166" t="str">
        <f>'N1 Fitment'!O22</f>
        <v>Opt1</v>
      </c>
      <c r="C118" s="160" t="s">
        <v>238</v>
      </c>
      <c r="G118" s="160" t="str">
        <f t="shared" si="5"/>
        <v/>
      </c>
    </row>
    <row r="119" spans="1:7">
      <c r="A119" s="160" t="s">
        <v>300</v>
      </c>
      <c r="B119" s="166" t="str">
        <f>'N1 Fitment'!O23</f>
        <v>Opt1</v>
      </c>
      <c r="C119" s="160" t="s">
        <v>238</v>
      </c>
      <c r="G119" s="160" t="str">
        <f t="shared" si="5"/>
        <v/>
      </c>
    </row>
    <row r="120" spans="1:7">
      <c r="A120" s="160" t="s">
        <v>483</v>
      </c>
      <c r="B120" s="166" t="str">
        <f>'N1 Fitment'!O24</f>
        <v>Opt1</v>
      </c>
      <c r="C120" s="160" t="s">
        <v>238</v>
      </c>
      <c r="G120" s="160" t="str">
        <f t="shared" si="5"/>
        <v/>
      </c>
    </row>
    <row r="121" spans="1:7">
      <c r="A121" s="160" t="s">
        <v>302</v>
      </c>
      <c r="B121" s="166" t="str">
        <f>'N1 Fitment'!O25</f>
        <v>Opt1</v>
      </c>
      <c r="C121" s="160" t="s">
        <v>238</v>
      </c>
      <c r="G121" s="160" t="str">
        <f t="shared" si="5"/>
        <v/>
      </c>
    </row>
    <row r="122" spans="1:7">
      <c r="A122" s="160" t="s">
        <v>484</v>
      </c>
      <c r="B122" s="166" t="str">
        <f>'N1 Fitment'!O27</f>
        <v>Opt1</v>
      </c>
      <c r="C122" s="160" t="s">
        <v>238</v>
      </c>
      <c r="G122" s="160" t="str">
        <f t="shared" si="5"/>
        <v/>
      </c>
    </row>
    <row r="123" spans="1:7">
      <c r="A123" s="160" t="s">
        <v>485</v>
      </c>
      <c r="B123" s="166" t="str">
        <f>'N1 Fitment'!O28</f>
        <v>Opt1</v>
      </c>
      <c r="C123" s="160" t="s">
        <v>238</v>
      </c>
      <c r="G123" s="160" t="str">
        <f t="shared" si="5"/>
        <v/>
      </c>
    </row>
    <row r="124" spans="1:7">
      <c r="A124" s="160" t="s">
        <v>486</v>
      </c>
      <c r="B124" s="166" t="str">
        <f>'N1 Fitment'!O29</f>
        <v>Opt1</v>
      </c>
      <c r="C124" s="160" t="s">
        <v>238</v>
      </c>
      <c r="G124" s="160" t="str">
        <f t="shared" si="5"/>
        <v/>
      </c>
    </row>
    <row r="125" spans="1:7">
      <c r="A125" s="160" t="s">
        <v>487</v>
      </c>
      <c r="B125" s="166" t="str">
        <f>'N1 Fitment'!O30</f>
        <v>Opt1</v>
      </c>
      <c r="C125" s="160" t="s">
        <v>238</v>
      </c>
      <c r="G125" s="160" t="str">
        <f t="shared" si="5"/>
        <v/>
      </c>
    </row>
    <row r="126" spans="1:7">
      <c r="A126" s="160" t="s">
        <v>488</v>
      </c>
      <c r="B126" s="166" t="str">
        <f>'N1 Fitment'!O31</f>
        <v>Opt1</v>
      </c>
      <c r="C126" s="160" t="s">
        <v>238</v>
      </c>
      <c r="G126" s="160" t="str">
        <f t="shared" si="5"/>
        <v/>
      </c>
    </row>
    <row r="127" spans="1:7">
      <c r="A127" s="160" t="s">
        <v>301</v>
      </c>
      <c r="B127" s="166" t="str">
        <f>'N1 Fitment'!O32</f>
        <v>Opt1</v>
      </c>
      <c r="C127" s="160" t="s">
        <v>238</v>
      </c>
      <c r="G127" s="160" t="str">
        <f t="shared" si="5"/>
        <v/>
      </c>
    </row>
    <row r="128" spans="1:7">
      <c r="A128" s="160" t="s">
        <v>489</v>
      </c>
      <c r="B128" s="166" t="str">
        <f>'N1 Fitment'!O33</f>
        <v>Opt1</v>
      </c>
      <c r="C128" s="160" t="s">
        <v>238</v>
      </c>
      <c r="G128" s="160" t="str">
        <f t="shared" si="5"/>
        <v/>
      </c>
    </row>
    <row r="129" spans="1:7">
      <c r="A129" s="160" t="s">
        <v>490</v>
      </c>
      <c r="B129" s="166" t="str">
        <f>'N1 Fitment'!O34</f>
        <v>Opt1</v>
      </c>
      <c r="C129" s="160" t="s">
        <v>238</v>
      </c>
      <c r="G129" s="160" t="str">
        <f t="shared" si="5"/>
        <v/>
      </c>
    </row>
    <row r="130" spans="1:7">
      <c r="A130" s="160" t="s">
        <v>491</v>
      </c>
      <c r="B130" s="166" t="str">
        <f>'N1 Fitment'!P6</f>
        <v>Opt1</v>
      </c>
      <c r="C130" s="160" t="s">
        <v>238</v>
      </c>
      <c r="G130" s="160" t="str">
        <f t="shared" si="5"/>
        <v/>
      </c>
    </row>
    <row r="131" spans="1:7">
      <c r="A131" s="160" t="s">
        <v>492</v>
      </c>
      <c r="B131" s="166" t="str">
        <f>'N1 Fitment'!P7</f>
        <v>Opt1</v>
      </c>
      <c r="C131" s="160" t="s">
        <v>238</v>
      </c>
      <c r="G131" s="160" t="str">
        <f t="shared" si="5"/>
        <v/>
      </c>
    </row>
    <row r="132" spans="1:7">
      <c r="A132" s="160" t="s">
        <v>493</v>
      </c>
      <c r="B132" s="166" t="str">
        <f>'N1 Fitment'!P8</f>
        <v>Opt1</v>
      </c>
      <c r="C132" s="160" t="s">
        <v>238</v>
      </c>
      <c r="G132" s="160" t="str">
        <f t="shared" si="5"/>
        <v/>
      </c>
    </row>
    <row r="133" spans="1:7">
      <c r="A133" s="160" t="s">
        <v>494</v>
      </c>
      <c r="B133" s="166" t="str">
        <f>'N1 Fitment'!P9</f>
        <v>Opt1</v>
      </c>
      <c r="C133" s="160" t="s">
        <v>238</v>
      </c>
      <c r="G133" s="160" t="str">
        <f t="shared" si="5"/>
        <v/>
      </c>
    </row>
    <row r="134" spans="1:7">
      <c r="A134" s="160" t="s">
        <v>495</v>
      </c>
      <c r="B134" s="166" t="str">
        <f>'N1 Fitment'!P10</f>
        <v>Opt1</v>
      </c>
      <c r="C134" s="160" t="s">
        <v>238</v>
      </c>
      <c r="G134" s="160" t="str">
        <f t="shared" ref="G134:G197" si="6">IF(OR(B134=0,B134=" ",B134=""),0,"")</f>
        <v/>
      </c>
    </row>
    <row r="135" spans="1:7">
      <c r="A135" s="160" t="s">
        <v>496</v>
      </c>
      <c r="B135" s="166" t="str">
        <f>'N1 Fitment'!P11</f>
        <v>Opt1</v>
      </c>
      <c r="C135" s="160" t="s">
        <v>238</v>
      </c>
      <c r="G135" s="160" t="str">
        <f t="shared" si="6"/>
        <v/>
      </c>
    </row>
    <row r="136" spans="1:7">
      <c r="A136" s="160" t="s">
        <v>497</v>
      </c>
      <c r="B136" s="166" t="str">
        <f>'N1 Fitment'!P12</f>
        <v>Opt1</v>
      </c>
      <c r="C136" s="160" t="s">
        <v>238</v>
      </c>
      <c r="G136" s="160" t="str">
        <f t="shared" si="6"/>
        <v/>
      </c>
    </row>
    <row r="137" spans="1:7">
      <c r="A137" s="160" t="s">
        <v>498</v>
      </c>
      <c r="B137" s="166" t="str">
        <f>'N1 Fitment'!P13</f>
        <v>Opt1</v>
      </c>
      <c r="C137" s="160" t="s">
        <v>238</v>
      </c>
      <c r="G137" s="160" t="str">
        <f t="shared" si="6"/>
        <v/>
      </c>
    </row>
    <row r="138" spans="1:7">
      <c r="A138" s="160" t="s">
        <v>499</v>
      </c>
      <c r="B138" s="166" t="str">
        <f>'N1 Fitment'!P14</f>
        <v>Opt1</v>
      </c>
      <c r="C138" s="160" t="s">
        <v>238</v>
      </c>
      <c r="G138" s="160" t="str">
        <f t="shared" si="6"/>
        <v/>
      </c>
    </row>
    <row r="139" spans="1:7">
      <c r="A139" s="160" t="s">
        <v>303</v>
      </c>
      <c r="B139" s="166" t="str">
        <f>'N1 Fitment'!P15</f>
        <v>Opt1</v>
      </c>
      <c r="C139" s="160" t="s">
        <v>238</v>
      </c>
      <c r="G139" s="160" t="str">
        <f t="shared" si="6"/>
        <v/>
      </c>
    </row>
    <row r="140" spans="1:7">
      <c r="A140" s="160" t="s">
        <v>304</v>
      </c>
      <c r="B140" s="166" t="str">
        <f>'N1 Fitment'!P16</f>
        <v>Opt1</v>
      </c>
      <c r="C140" s="160" t="s">
        <v>238</v>
      </c>
      <c r="G140" s="160" t="str">
        <f t="shared" si="6"/>
        <v/>
      </c>
    </row>
    <row r="141" spans="1:7">
      <c r="A141" s="160" t="s">
        <v>500</v>
      </c>
      <c r="B141" s="166" t="str">
        <f>'N1 Fitment'!P17</f>
        <v>Opt1</v>
      </c>
      <c r="C141" s="160" t="s">
        <v>238</v>
      </c>
      <c r="G141" s="160" t="str">
        <f t="shared" si="6"/>
        <v/>
      </c>
    </row>
    <row r="142" spans="1:7">
      <c r="A142" s="160" t="s">
        <v>501</v>
      </c>
      <c r="B142" s="166" t="str">
        <f>'N1 Fitment'!P18</f>
        <v>Opt1</v>
      </c>
      <c r="C142" s="160" t="s">
        <v>238</v>
      </c>
      <c r="G142" s="160" t="str">
        <f t="shared" si="6"/>
        <v/>
      </c>
    </row>
    <row r="143" spans="1:7">
      <c r="A143" s="160" t="s">
        <v>502</v>
      </c>
      <c r="B143" s="166" t="str">
        <f>'N1 Fitment'!P19</f>
        <v>Opt1</v>
      </c>
      <c r="C143" s="160" t="s">
        <v>238</v>
      </c>
      <c r="G143" s="160" t="str">
        <f t="shared" si="6"/>
        <v/>
      </c>
    </row>
    <row r="144" spans="1:7">
      <c r="A144" s="160" t="s">
        <v>305</v>
      </c>
      <c r="B144" s="166" t="str">
        <f>'N1 Fitment'!P20</f>
        <v>Opt1</v>
      </c>
      <c r="C144" s="160" t="s">
        <v>238</v>
      </c>
      <c r="G144" s="160" t="str">
        <f t="shared" si="6"/>
        <v/>
      </c>
    </row>
    <row r="145" spans="1:7">
      <c r="A145" s="160" t="s">
        <v>503</v>
      </c>
      <c r="B145" s="166" t="str">
        <f>'N1 Fitment'!P21</f>
        <v>Opt1</v>
      </c>
      <c r="C145" s="160" t="s">
        <v>238</v>
      </c>
      <c r="G145" s="160" t="str">
        <f t="shared" si="6"/>
        <v/>
      </c>
    </row>
    <row r="146" spans="1:7">
      <c r="A146" s="160" t="s">
        <v>504</v>
      </c>
      <c r="B146" s="166" t="str">
        <f>'N1 Fitment'!P22</f>
        <v>Opt1</v>
      </c>
      <c r="C146" s="160" t="s">
        <v>238</v>
      </c>
      <c r="G146" s="160" t="str">
        <f t="shared" si="6"/>
        <v/>
      </c>
    </row>
    <row r="147" spans="1:7">
      <c r="A147" s="160" t="s">
        <v>306</v>
      </c>
      <c r="B147" s="166" t="str">
        <f>'N1 Fitment'!P23</f>
        <v>Opt1</v>
      </c>
      <c r="C147" s="160" t="s">
        <v>238</v>
      </c>
      <c r="G147" s="160" t="str">
        <f t="shared" si="6"/>
        <v/>
      </c>
    </row>
    <row r="148" spans="1:7">
      <c r="A148" s="160" t="s">
        <v>505</v>
      </c>
      <c r="B148" s="166" t="str">
        <f>'N1 Fitment'!P24</f>
        <v>Opt1</v>
      </c>
      <c r="C148" s="160" t="s">
        <v>238</v>
      </c>
      <c r="G148" s="160" t="str">
        <f t="shared" si="6"/>
        <v/>
      </c>
    </row>
    <row r="149" spans="1:7">
      <c r="A149" s="160" t="s">
        <v>308</v>
      </c>
      <c r="B149" s="166" t="str">
        <f>'N1 Fitment'!P25</f>
        <v>Opt1</v>
      </c>
      <c r="C149" s="160" t="s">
        <v>238</v>
      </c>
      <c r="G149" s="160" t="str">
        <f t="shared" si="6"/>
        <v/>
      </c>
    </row>
    <row r="150" spans="1:7">
      <c r="A150" s="160" t="s">
        <v>506</v>
      </c>
      <c r="B150" s="166" t="str">
        <f>'N1 Fitment'!P27</f>
        <v>Opt1</v>
      </c>
      <c r="C150" s="160" t="s">
        <v>238</v>
      </c>
      <c r="G150" s="160" t="str">
        <f t="shared" si="6"/>
        <v/>
      </c>
    </row>
    <row r="151" spans="1:7">
      <c r="A151" s="160" t="s">
        <v>507</v>
      </c>
      <c r="B151" s="166" t="str">
        <f>'N1 Fitment'!P28</f>
        <v>Opt1</v>
      </c>
      <c r="C151" s="160" t="s">
        <v>238</v>
      </c>
      <c r="G151" s="160" t="str">
        <f t="shared" si="6"/>
        <v/>
      </c>
    </row>
    <row r="152" spans="1:7">
      <c r="A152" s="160" t="s">
        <v>508</v>
      </c>
      <c r="B152" s="166" t="str">
        <f>'N1 Fitment'!P29</f>
        <v>Opt1</v>
      </c>
      <c r="C152" s="160" t="s">
        <v>238</v>
      </c>
      <c r="G152" s="160" t="str">
        <f t="shared" si="6"/>
        <v/>
      </c>
    </row>
    <row r="153" spans="1:7">
      <c r="A153" s="160" t="s">
        <v>509</v>
      </c>
      <c r="B153" s="166" t="str">
        <f>'N1 Fitment'!P30</f>
        <v>Opt1</v>
      </c>
      <c r="C153" s="160" t="s">
        <v>238</v>
      </c>
      <c r="G153" s="160" t="str">
        <f t="shared" si="6"/>
        <v/>
      </c>
    </row>
    <row r="154" spans="1:7">
      <c r="A154" s="160" t="s">
        <v>510</v>
      </c>
      <c r="B154" s="166" t="str">
        <f>'N1 Fitment'!P31</f>
        <v>Opt1</v>
      </c>
      <c r="C154" s="160" t="s">
        <v>238</v>
      </c>
      <c r="G154" s="160" t="str">
        <f t="shared" si="6"/>
        <v/>
      </c>
    </row>
    <row r="155" spans="1:7">
      <c r="A155" s="160" t="s">
        <v>307</v>
      </c>
      <c r="B155" s="166" t="str">
        <f>'N1 Fitment'!P32</f>
        <v>Opt1</v>
      </c>
      <c r="C155" s="160" t="s">
        <v>238</v>
      </c>
      <c r="G155" s="160" t="str">
        <f t="shared" si="6"/>
        <v/>
      </c>
    </row>
    <row r="156" spans="1:7">
      <c r="A156" s="160" t="s">
        <v>511</v>
      </c>
      <c r="B156" s="166" t="str">
        <f>'N1 Fitment'!P33</f>
        <v>Opt1</v>
      </c>
      <c r="C156" s="160" t="s">
        <v>238</v>
      </c>
      <c r="G156" s="160" t="str">
        <f t="shared" si="6"/>
        <v/>
      </c>
    </row>
    <row r="157" spans="1:7">
      <c r="A157" s="160" t="s">
        <v>512</v>
      </c>
      <c r="B157" s="166" t="str">
        <f>'N1 Fitment'!P34</f>
        <v>Opt1</v>
      </c>
      <c r="C157" s="160" t="s">
        <v>238</v>
      </c>
      <c r="G157" s="160" t="str">
        <f t="shared" si="6"/>
        <v/>
      </c>
    </row>
    <row r="158" spans="1:7">
      <c r="A158" s="160" t="s">
        <v>513</v>
      </c>
      <c r="B158" s="166" t="str">
        <f>'N1 Fitment'!Q6</f>
        <v>Opt1</v>
      </c>
      <c r="C158" s="160" t="s">
        <v>238</v>
      </c>
      <c r="G158" s="160" t="str">
        <f t="shared" si="6"/>
        <v/>
      </c>
    </row>
    <row r="159" spans="1:7">
      <c r="A159" s="160" t="s">
        <v>514</v>
      </c>
      <c r="B159" s="166" t="str">
        <f>'N1 Fitment'!Q7</f>
        <v>Opt1</v>
      </c>
      <c r="C159" s="160" t="s">
        <v>238</v>
      </c>
      <c r="G159" s="160" t="str">
        <f t="shared" si="6"/>
        <v/>
      </c>
    </row>
    <row r="160" spans="1:7">
      <c r="A160" s="160" t="s">
        <v>515</v>
      </c>
      <c r="B160" s="166" t="str">
        <f>'N1 Fitment'!Q8</f>
        <v>Opt1</v>
      </c>
      <c r="C160" s="160" t="s">
        <v>238</v>
      </c>
      <c r="G160" s="160" t="str">
        <f t="shared" si="6"/>
        <v/>
      </c>
    </row>
    <row r="161" spans="1:7">
      <c r="A161" s="160" t="s">
        <v>516</v>
      </c>
      <c r="B161" s="166" t="str">
        <f>'N1 Fitment'!Q9</f>
        <v>Opt1</v>
      </c>
      <c r="C161" s="160" t="s">
        <v>238</v>
      </c>
      <c r="G161" s="160" t="str">
        <f t="shared" si="6"/>
        <v/>
      </c>
    </row>
    <row r="162" spans="1:7">
      <c r="A162" s="160" t="s">
        <v>517</v>
      </c>
      <c r="B162" s="166" t="str">
        <f>'N1 Fitment'!Q10</f>
        <v>Opt1</v>
      </c>
      <c r="C162" s="160" t="s">
        <v>238</v>
      </c>
      <c r="G162" s="160" t="str">
        <f t="shared" si="6"/>
        <v/>
      </c>
    </row>
    <row r="163" spans="1:7">
      <c r="A163" s="160" t="s">
        <v>518</v>
      </c>
      <c r="B163" s="166" t="str">
        <f>'N1 Fitment'!Q11</f>
        <v>Opt1</v>
      </c>
      <c r="C163" s="160" t="s">
        <v>238</v>
      </c>
      <c r="G163" s="160" t="str">
        <f t="shared" si="6"/>
        <v/>
      </c>
    </row>
    <row r="164" spans="1:7">
      <c r="A164" s="160" t="s">
        <v>519</v>
      </c>
      <c r="B164" s="166" t="str">
        <f>'N1 Fitment'!Q12</f>
        <v>Opt1</v>
      </c>
      <c r="C164" s="160" t="s">
        <v>238</v>
      </c>
      <c r="G164" s="160" t="str">
        <f t="shared" si="6"/>
        <v/>
      </c>
    </row>
    <row r="165" spans="1:7">
      <c r="A165" s="160" t="s">
        <v>520</v>
      </c>
      <c r="B165" s="166" t="str">
        <f>'N1 Fitment'!Q13</f>
        <v>Opt1</v>
      </c>
      <c r="C165" s="160" t="s">
        <v>238</v>
      </c>
      <c r="G165" s="160" t="str">
        <f t="shared" si="6"/>
        <v/>
      </c>
    </row>
    <row r="166" spans="1:7">
      <c r="A166" s="160" t="s">
        <v>521</v>
      </c>
      <c r="B166" s="166" t="str">
        <f>'N1 Fitment'!Q14</f>
        <v>Opt1</v>
      </c>
      <c r="C166" s="160" t="s">
        <v>238</v>
      </c>
      <c r="G166" s="160" t="str">
        <f t="shared" si="6"/>
        <v/>
      </c>
    </row>
    <row r="167" spans="1:7">
      <c r="A167" s="160" t="s">
        <v>309</v>
      </c>
      <c r="B167" s="166" t="str">
        <f>'N1 Fitment'!Q15</f>
        <v>Opt1</v>
      </c>
      <c r="C167" s="160" t="s">
        <v>238</v>
      </c>
      <c r="G167" s="160" t="str">
        <f t="shared" si="6"/>
        <v/>
      </c>
    </row>
    <row r="168" spans="1:7">
      <c r="A168" s="160" t="s">
        <v>310</v>
      </c>
      <c r="B168" s="166" t="str">
        <f>'N1 Fitment'!Q16</f>
        <v>Opt1</v>
      </c>
      <c r="C168" s="160" t="s">
        <v>238</v>
      </c>
      <c r="G168" s="160" t="str">
        <f t="shared" si="6"/>
        <v/>
      </c>
    </row>
    <row r="169" spans="1:7">
      <c r="A169" s="160" t="s">
        <v>522</v>
      </c>
      <c r="B169" s="166" t="str">
        <f>'N1 Fitment'!Q17</f>
        <v>Opt1</v>
      </c>
      <c r="C169" s="160" t="s">
        <v>238</v>
      </c>
      <c r="G169" s="160" t="str">
        <f t="shared" si="6"/>
        <v/>
      </c>
    </row>
    <row r="170" spans="1:7">
      <c r="A170" s="160" t="s">
        <v>523</v>
      </c>
      <c r="B170" s="166" t="str">
        <f>'N1 Fitment'!Q18</f>
        <v>Opt1</v>
      </c>
      <c r="C170" s="160" t="s">
        <v>238</v>
      </c>
      <c r="G170" s="160" t="str">
        <f t="shared" si="6"/>
        <v/>
      </c>
    </row>
    <row r="171" spans="1:7">
      <c r="A171" s="160" t="s">
        <v>524</v>
      </c>
      <c r="B171" s="166" t="str">
        <f>'N1 Fitment'!Q19</f>
        <v>Opt1</v>
      </c>
      <c r="C171" s="160" t="s">
        <v>238</v>
      </c>
      <c r="G171" s="160" t="str">
        <f t="shared" si="6"/>
        <v/>
      </c>
    </row>
    <row r="172" spans="1:7">
      <c r="A172" s="160" t="s">
        <v>311</v>
      </c>
      <c r="B172" s="166" t="str">
        <f>'N1 Fitment'!Q20</f>
        <v>Opt1</v>
      </c>
      <c r="C172" s="160" t="s">
        <v>238</v>
      </c>
      <c r="G172" s="160" t="str">
        <f t="shared" si="6"/>
        <v/>
      </c>
    </row>
    <row r="173" spans="1:7">
      <c r="A173" s="160" t="s">
        <v>525</v>
      </c>
      <c r="B173" s="166" t="str">
        <f>'N1 Fitment'!Q21</f>
        <v>Opt1</v>
      </c>
      <c r="C173" s="160" t="s">
        <v>238</v>
      </c>
      <c r="G173" s="160" t="str">
        <f t="shared" si="6"/>
        <v/>
      </c>
    </row>
    <row r="174" spans="1:7">
      <c r="A174" s="160" t="s">
        <v>526</v>
      </c>
      <c r="B174" s="166" t="str">
        <f>'N1 Fitment'!Q22</f>
        <v>Opt1</v>
      </c>
      <c r="C174" s="160" t="s">
        <v>238</v>
      </c>
      <c r="G174" s="160" t="str">
        <f t="shared" si="6"/>
        <v/>
      </c>
    </row>
    <row r="175" spans="1:7">
      <c r="A175" s="160" t="s">
        <v>312</v>
      </c>
      <c r="B175" s="166" t="str">
        <f>'N1 Fitment'!Q23</f>
        <v>Opt1</v>
      </c>
      <c r="C175" s="160" t="s">
        <v>238</v>
      </c>
      <c r="G175" s="160" t="str">
        <f t="shared" si="6"/>
        <v/>
      </c>
    </row>
    <row r="176" spans="1:7">
      <c r="A176" s="160" t="s">
        <v>527</v>
      </c>
      <c r="B176" s="166" t="str">
        <f>'N1 Fitment'!Q24</f>
        <v>Opt1</v>
      </c>
      <c r="C176" s="160" t="s">
        <v>238</v>
      </c>
      <c r="G176" s="160" t="str">
        <f t="shared" si="6"/>
        <v/>
      </c>
    </row>
    <row r="177" spans="1:7">
      <c r="A177" s="160" t="s">
        <v>314</v>
      </c>
      <c r="B177" s="166" t="str">
        <f>'N1 Fitment'!Q25</f>
        <v>Opt1</v>
      </c>
      <c r="C177" s="160" t="s">
        <v>238</v>
      </c>
      <c r="G177" s="160" t="str">
        <f t="shared" si="6"/>
        <v/>
      </c>
    </row>
    <row r="178" spans="1:7">
      <c r="A178" s="160" t="s">
        <v>528</v>
      </c>
      <c r="B178" s="166" t="str">
        <f>'N1 Fitment'!Q27</f>
        <v>Opt1</v>
      </c>
      <c r="C178" s="160" t="s">
        <v>238</v>
      </c>
      <c r="G178" s="160" t="str">
        <f t="shared" si="6"/>
        <v/>
      </c>
    </row>
    <row r="179" spans="1:7">
      <c r="A179" s="160" t="s">
        <v>529</v>
      </c>
      <c r="B179" s="166" t="str">
        <f>'N1 Fitment'!Q28</f>
        <v>Opt1</v>
      </c>
      <c r="C179" s="160" t="s">
        <v>238</v>
      </c>
      <c r="G179" s="160" t="str">
        <f t="shared" si="6"/>
        <v/>
      </c>
    </row>
    <row r="180" spans="1:7">
      <c r="A180" s="160" t="s">
        <v>530</v>
      </c>
      <c r="B180" s="166" t="str">
        <f>'N1 Fitment'!Q29</f>
        <v>Opt1</v>
      </c>
      <c r="C180" s="160" t="s">
        <v>238</v>
      </c>
      <c r="G180" s="160" t="str">
        <f t="shared" si="6"/>
        <v/>
      </c>
    </row>
    <row r="181" spans="1:7">
      <c r="A181" s="160" t="s">
        <v>531</v>
      </c>
      <c r="B181" s="166" t="str">
        <f>'N1 Fitment'!Q30</f>
        <v>Opt1</v>
      </c>
      <c r="C181" s="160" t="s">
        <v>238</v>
      </c>
      <c r="G181" s="160" t="str">
        <f t="shared" si="6"/>
        <v/>
      </c>
    </row>
    <row r="182" spans="1:7">
      <c r="A182" s="160" t="s">
        <v>532</v>
      </c>
      <c r="B182" s="166" t="str">
        <f>'N1 Fitment'!Q31</f>
        <v>Opt1</v>
      </c>
      <c r="C182" s="160" t="s">
        <v>238</v>
      </c>
      <c r="G182" s="160" t="str">
        <f t="shared" si="6"/>
        <v/>
      </c>
    </row>
    <row r="183" spans="1:7">
      <c r="A183" s="160" t="s">
        <v>313</v>
      </c>
      <c r="B183" s="166" t="str">
        <f>'N1 Fitment'!Q32</f>
        <v>Opt1</v>
      </c>
      <c r="C183" s="160" t="s">
        <v>238</v>
      </c>
      <c r="G183" s="160" t="str">
        <f t="shared" si="6"/>
        <v/>
      </c>
    </row>
    <row r="184" spans="1:7">
      <c r="A184" s="160" t="s">
        <v>533</v>
      </c>
      <c r="B184" s="166" t="str">
        <f>'N1 Fitment'!Q33</f>
        <v>Opt1</v>
      </c>
      <c r="C184" s="160" t="s">
        <v>238</v>
      </c>
      <c r="G184" s="160" t="str">
        <f t="shared" si="6"/>
        <v/>
      </c>
    </row>
    <row r="185" spans="1:7">
      <c r="A185" s="160" t="s">
        <v>534</v>
      </c>
      <c r="B185" s="166" t="str">
        <f>'N1 Fitment'!Q34</f>
        <v>Opt1</v>
      </c>
      <c r="C185" s="160" t="s">
        <v>238</v>
      </c>
      <c r="G185" s="160" t="str">
        <f t="shared" si="6"/>
        <v/>
      </c>
    </row>
    <row r="186" spans="1:7">
      <c r="A186" s="160" t="s">
        <v>535</v>
      </c>
      <c r="B186" s="166" t="str">
        <f>'N1 Fitment'!R6</f>
        <v>Opt1</v>
      </c>
      <c r="C186" s="160" t="s">
        <v>238</v>
      </c>
      <c r="G186" s="160" t="str">
        <f t="shared" si="6"/>
        <v/>
      </c>
    </row>
    <row r="187" spans="1:7">
      <c r="A187" s="160" t="s">
        <v>536</v>
      </c>
      <c r="B187" s="166" t="str">
        <f>'N1 Fitment'!R7</f>
        <v>Opt1</v>
      </c>
      <c r="C187" s="160" t="s">
        <v>238</v>
      </c>
      <c r="G187" s="160" t="str">
        <f t="shared" si="6"/>
        <v/>
      </c>
    </row>
    <row r="188" spans="1:7">
      <c r="A188" s="160" t="s">
        <v>537</v>
      </c>
      <c r="B188" s="166" t="str">
        <f>'N1 Fitment'!R8</f>
        <v>Opt1</v>
      </c>
      <c r="C188" s="160" t="s">
        <v>238</v>
      </c>
      <c r="G188" s="160" t="str">
        <f t="shared" si="6"/>
        <v/>
      </c>
    </row>
    <row r="189" spans="1:7">
      <c r="A189" s="160" t="s">
        <v>538</v>
      </c>
      <c r="B189" s="166" t="str">
        <f>'N1 Fitment'!R9</f>
        <v>Opt1</v>
      </c>
      <c r="C189" s="160" t="s">
        <v>238</v>
      </c>
      <c r="G189" s="160" t="str">
        <f t="shared" si="6"/>
        <v/>
      </c>
    </row>
    <row r="190" spans="1:7">
      <c r="A190" s="160" t="s">
        <v>539</v>
      </c>
      <c r="B190" s="166" t="str">
        <f>'N1 Fitment'!R10</f>
        <v>Opt1</v>
      </c>
      <c r="C190" s="160" t="s">
        <v>238</v>
      </c>
      <c r="G190" s="160" t="str">
        <f t="shared" si="6"/>
        <v/>
      </c>
    </row>
    <row r="191" spans="1:7">
      <c r="A191" s="160" t="s">
        <v>540</v>
      </c>
      <c r="B191" s="166" t="str">
        <f>'N1 Fitment'!R11</f>
        <v>Opt1</v>
      </c>
      <c r="C191" s="160" t="s">
        <v>238</v>
      </c>
      <c r="G191" s="160" t="str">
        <f t="shared" si="6"/>
        <v/>
      </c>
    </row>
    <row r="192" spans="1:7">
      <c r="A192" s="160" t="s">
        <v>541</v>
      </c>
      <c r="B192" s="166" t="str">
        <f>'N1 Fitment'!R12</f>
        <v>Opt1</v>
      </c>
      <c r="C192" s="160" t="s">
        <v>238</v>
      </c>
      <c r="G192" s="160" t="str">
        <f t="shared" si="6"/>
        <v/>
      </c>
    </row>
    <row r="193" spans="1:7">
      <c r="A193" s="160" t="s">
        <v>542</v>
      </c>
      <c r="B193" s="166" t="str">
        <f>'N1 Fitment'!R13</f>
        <v>Opt1</v>
      </c>
      <c r="C193" s="160" t="s">
        <v>238</v>
      </c>
      <c r="G193" s="160" t="str">
        <f t="shared" si="6"/>
        <v/>
      </c>
    </row>
    <row r="194" spans="1:7">
      <c r="A194" s="160" t="s">
        <v>543</v>
      </c>
      <c r="B194" s="166" t="str">
        <f>'N1 Fitment'!R14</f>
        <v>Opt1</v>
      </c>
      <c r="C194" s="160" t="s">
        <v>238</v>
      </c>
      <c r="G194" s="160" t="str">
        <f t="shared" si="6"/>
        <v/>
      </c>
    </row>
    <row r="195" spans="1:7">
      <c r="A195" s="160" t="s">
        <v>315</v>
      </c>
      <c r="B195" s="166" t="str">
        <f>'N1 Fitment'!R15</f>
        <v>Opt1</v>
      </c>
      <c r="C195" s="160" t="s">
        <v>238</v>
      </c>
      <c r="G195" s="160" t="str">
        <f t="shared" si="6"/>
        <v/>
      </c>
    </row>
    <row r="196" spans="1:7">
      <c r="A196" s="160" t="s">
        <v>316</v>
      </c>
      <c r="B196" s="166" t="str">
        <f>'N1 Fitment'!R16</f>
        <v>Opt1</v>
      </c>
      <c r="C196" s="160" t="s">
        <v>238</v>
      </c>
      <c r="G196" s="160" t="str">
        <f t="shared" si="6"/>
        <v/>
      </c>
    </row>
    <row r="197" spans="1:7">
      <c r="A197" s="160" t="s">
        <v>544</v>
      </c>
      <c r="B197" s="166" t="str">
        <f>'N1 Fitment'!R17</f>
        <v>Opt1</v>
      </c>
      <c r="C197" s="160" t="s">
        <v>238</v>
      </c>
      <c r="G197" s="160" t="str">
        <f t="shared" si="6"/>
        <v/>
      </c>
    </row>
    <row r="198" spans="1:7">
      <c r="A198" s="160" t="s">
        <v>545</v>
      </c>
      <c r="B198" s="166" t="str">
        <f>'N1 Fitment'!R18</f>
        <v>Opt1</v>
      </c>
      <c r="C198" s="160" t="s">
        <v>238</v>
      </c>
      <c r="G198" s="160" t="str">
        <f t="shared" ref="G198:G261" si="7">IF(OR(B198=0,B198=" ",B198=""),0,"")</f>
        <v/>
      </c>
    </row>
    <row r="199" spans="1:7">
      <c r="A199" s="160" t="s">
        <v>546</v>
      </c>
      <c r="B199" s="166" t="str">
        <f>'N1 Fitment'!R19</f>
        <v>Opt1</v>
      </c>
      <c r="C199" s="160" t="s">
        <v>238</v>
      </c>
      <c r="G199" s="160" t="str">
        <f t="shared" si="7"/>
        <v/>
      </c>
    </row>
    <row r="200" spans="1:7">
      <c r="A200" s="160" t="s">
        <v>317</v>
      </c>
      <c r="B200" s="166" t="str">
        <f>'N1 Fitment'!R20</f>
        <v>Opt1</v>
      </c>
      <c r="C200" s="160" t="s">
        <v>238</v>
      </c>
      <c r="G200" s="160" t="str">
        <f t="shared" si="7"/>
        <v/>
      </c>
    </row>
    <row r="201" spans="1:7">
      <c r="A201" s="160" t="s">
        <v>547</v>
      </c>
      <c r="B201" s="166" t="str">
        <f>'N1 Fitment'!R21</f>
        <v>Opt1</v>
      </c>
      <c r="C201" s="160" t="s">
        <v>238</v>
      </c>
      <c r="G201" s="160" t="str">
        <f t="shared" si="7"/>
        <v/>
      </c>
    </row>
    <row r="202" spans="1:7">
      <c r="A202" s="160" t="s">
        <v>548</v>
      </c>
      <c r="B202" s="166" t="str">
        <f>'N1 Fitment'!R22</f>
        <v>Opt1</v>
      </c>
      <c r="C202" s="160" t="s">
        <v>238</v>
      </c>
      <c r="G202" s="160" t="str">
        <f t="shared" si="7"/>
        <v/>
      </c>
    </row>
    <row r="203" spans="1:7">
      <c r="A203" s="160" t="s">
        <v>318</v>
      </c>
      <c r="B203" s="166" t="str">
        <f>'N1 Fitment'!R23</f>
        <v>Opt1</v>
      </c>
      <c r="C203" s="160" t="s">
        <v>238</v>
      </c>
      <c r="G203" s="160" t="str">
        <f t="shared" si="7"/>
        <v/>
      </c>
    </row>
    <row r="204" spans="1:7">
      <c r="A204" s="160" t="s">
        <v>549</v>
      </c>
      <c r="B204" s="166" t="str">
        <f>'N1 Fitment'!R24</f>
        <v>Opt1</v>
      </c>
      <c r="C204" s="160" t="s">
        <v>238</v>
      </c>
      <c r="G204" s="160" t="str">
        <f t="shared" si="7"/>
        <v/>
      </c>
    </row>
    <row r="205" spans="1:7">
      <c r="A205" s="160" t="s">
        <v>320</v>
      </c>
      <c r="B205" s="166" t="str">
        <f>'N1 Fitment'!R25</f>
        <v>Opt1</v>
      </c>
      <c r="C205" s="160" t="s">
        <v>238</v>
      </c>
      <c r="G205" s="160" t="str">
        <f t="shared" si="7"/>
        <v/>
      </c>
    </row>
    <row r="206" spans="1:7">
      <c r="A206" s="160" t="s">
        <v>550</v>
      </c>
      <c r="B206" s="166" t="str">
        <f>'N1 Fitment'!R27</f>
        <v>Opt1</v>
      </c>
      <c r="C206" s="160" t="s">
        <v>238</v>
      </c>
      <c r="G206" s="160" t="str">
        <f t="shared" si="7"/>
        <v/>
      </c>
    </row>
    <row r="207" spans="1:7">
      <c r="A207" s="160" t="s">
        <v>551</v>
      </c>
      <c r="B207" s="166" t="str">
        <f>'N1 Fitment'!R28</f>
        <v>Opt1</v>
      </c>
      <c r="C207" s="160" t="s">
        <v>238</v>
      </c>
      <c r="G207" s="160" t="str">
        <f t="shared" si="7"/>
        <v/>
      </c>
    </row>
    <row r="208" spans="1:7">
      <c r="A208" s="160" t="s">
        <v>552</v>
      </c>
      <c r="B208" s="166" t="str">
        <f>'N1 Fitment'!R29</f>
        <v>Opt1</v>
      </c>
      <c r="C208" s="160" t="s">
        <v>238</v>
      </c>
      <c r="G208" s="160" t="str">
        <f t="shared" si="7"/>
        <v/>
      </c>
    </row>
    <row r="209" spans="1:7">
      <c r="A209" s="160" t="s">
        <v>553</v>
      </c>
      <c r="B209" s="166" t="str">
        <f>'N1 Fitment'!R30</f>
        <v>Opt1</v>
      </c>
      <c r="C209" s="160" t="s">
        <v>238</v>
      </c>
      <c r="G209" s="160" t="str">
        <f t="shared" si="7"/>
        <v/>
      </c>
    </row>
    <row r="210" spans="1:7">
      <c r="A210" s="160" t="s">
        <v>554</v>
      </c>
      <c r="B210" s="166" t="str">
        <f>'N1 Fitment'!R31</f>
        <v>Opt1</v>
      </c>
      <c r="C210" s="160" t="s">
        <v>238</v>
      </c>
      <c r="G210" s="160" t="str">
        <f t="shared" si="7"/>
        <v/>
      </c>
    </row>
    <row r="211" spans="1:7">
      <c r="A211" s="160" t="s">
        <v>319</v>
      </c>
      <c r="B211" s="166" t="str">
        <f>'N1 Fitment'!R32</f>
        <v>Opt1</v>
      </c>
      <c r="C211" s="160" t="s">
        <v>238</v>
      </c>
      <c r="G211" s="160" t="str">
        <f t="shared" si="7"/>
        <v/>
      </c>
    </row>
    <row r="212" spans="1:7">
      <c r="A212" s="160" t="s">
        <v>555</v>
      </c>
      <c r="B212" s="166" t="str">
        <f>'N1 Fitment'!R33</f>
        <v>Opt1</v>
      </c>
      <c r="C212" s="160" t="s">
        <v>238</v>
      </c>
      <c r="G212" s="160" t="str">
        <f t="shared" si="7"/>
        <v/>
      </c>
    </row>
    <row r="213" spans="1:7">
      <c r="A213" s="160" t="s">
        <v>556</v>
      </c>
      <c r="B213" s="166" t="str">
        <f>'N1 Fitment'!R34</f>
        <v>Opt1</v>
      </c>
      <c r="C213" s="160" t="s">
        <v>238</v>
      </c>
      <c r="G213" s="160" t="str">
        <f t="shared" si="7"/>
        <v/>
      </c>
    </row>
    <row r="214" spans="1:7">
      <c r="A214" s="160" t="s">
        <v>557</v>
      </c>
      <c r="B214" s="166" t="str">
        <f>'N1 Fitment'!S6</f>
        <v>Opt1</v>
      </c>
      <c r="C214" s="160" t="s">
        <v>238</v>
      </c>
      <c r="G214" s="160" t="str">
        <f t="shared" si="7"/>
        <v/>
      </c>
    </row>
    <row r="215" spans="1:7">
      <c r="A215" s="160" t="s">
        <v>558</v>
      </c>
      <c r="B215" s="166" t="str">
        <f>'N1 Fitment'!S7</f>
        <v>Opt1</v>
      </c>
      <c r="C215" s="160" t="s">
        <v>238</v>
      </c>
      <c r="G215" s="160" t="str">
        <f t="shared" si="7"/>
        <v/>
      </c>
    </row>
    <row r="216" spans="1:7">
      <c r="A216" s="160" t="s">
        <v>559</v>
      </c>
      <c r="B216" s="166" t="str">
        <f>'N1 Fitment'!S8</f>
        <v>Opt1</v>
      </c>
      <c r="C216" s="160" t="s">
        <v>238</v>
      </c>
      <c r="G216" s="160" t="str">
        <f t="shared" si="7"/>
        <v/>
      </c>
    </row>
    <row r="217" spans="1:7">
      <c r="A217" s="160" t="s">
        <v>560</v>
      </c>
      <c r="B217" s="166" t="str">
        <f>'N1 Fitment'!S9</f>
        <v>Opt1</v>
      </c>
      <c r="C217" s="160" t="s">
        <v>238</v>
      </c>
      <c r="G217" s="160" t="str">
        <f t="shared" si="7"/>
        <v/>
      </c>
    </row>
    <row r="218" spans="1:7">
      <c r="A218" s="160" t="s">
        <v>561</v>
      </c>
      <c r="B218" s="166" t="str">
        <f>'N1 Fitment'!S10</f>
        <v>Opt1</v>
      </c>
      <c r="C218" s="160" t="s">
        <v>238</v>
      </c>
      <c r="G218" s="160" t="str">
        <f t="shared" si="7"/>
        <v/>
      </c>
    </row>
    <row r="219" spans="1:7">
      <c r="A219" s="160" t="s">
        <v>562</v>
      </c>
      <c r="B219" s="166" t="str">
        <f>'N1 Fitment'!S11</f>
        <v>Opt1</v>
      </c>
      <c r="C219" s="160" t="s">
        <v>238</v>
      </c>
      <c r="G219" s="160" t="str">
        <f t="shared" si="7"/>
        <v/>
      </c>
    </row>
    <row r="220" spans="1:7">
      <c r="A220" s="160" t="s">
        <v>563</v>
      </c>
      <c r="B220" s="166" t="str">
        <f>'N1 Fitment'!S12</f>
        <v>Opt1</v>
      </c>
      <c r="C220" s="160" t="s">
        <v>238</v>
      </c>
      <c r="G220" s="160" t="str">
        <f t="shared" si="7"/>
        <v/>
      </c>
    </row>
    <row r="221" spans="1:7">
      <c r="A221" s="160" t="s">
        <v>564</v>
      </c>
      <c r="B221" s="166" t="str">
        <f>'N1 Fitment'!S13</f>
        <v>Opt1</v>
      </c>
      <c r="C221" s="160" t="s">
        <v>238</v>
      </c>
      <c r="G221" s="160" t="str">
        <f t="shared" si="7"/>
        <v/>
      </c>
    </row>
    <row r="222" spans="1:7">
      <c r="A222" s="160" t="s">
        <v>565</v>
      </c>
      <c r="B222" s="166" t="str">
        <f>'N1 Fitment'!S14</f>
        <v>Opt1</v>
      </c>
      <c r="C222" s="160" t="s">
        <v>238</v>
      </c>
      <c r="G222" s="160" t="str">
        <f t="shared" si="7"/>
        <v/>
      </c>
    </row>
    <row r="223" spans="1:7">
      <c r="A223" s="160" t="s">
        <v>321</v>
      </c>
      <c r="B223" s="166" t="str">
        <f>'N1 Fitment'!S15</f>
        <v>Opt1</v>
      </c>
      <c r="C223" s="160" t="s">
        <v>238</v>
      </c>
      <c r="G223" s="160" t="str">
        <f t="shared" si="7"/>
        <v/>
      </c>
    </row>
    <row r="224" spans="1:7">
      <c r="A224" s="160" t="s">
        <v>322</v>
      </c>
      <c r="B224" s="166" t="str">
        <f>'N1 Fitment'!S16</f>
        <v>Opt1</v>
      </c>
      <c r="C224" s="160" t="s">
        <v>238</v>
      </c>
      <c r="G224" s="160" t="str">
        <f t="shared" si="7"/>
        <v/>
      </c>
    </row>
    <row r="225" spans="1:7">
      <c r="A225" s="160" t="s">
        <v>566</v>
      </c>
      <c r="B225" s="166" t="str">
        <f>'N1 Fitment'!S17</f>
        <v>Opt1</v>
      </c>
      <c r="C225" s="160" t="s">
        <v>238</v>
      </c>
      <c r="G225" s="160" t="str">
        <f t="shared" si="7"/>
        <v/>
      </c>
    </row>
    <row r="226" spans="1:7">
      <c r="A226" s="160" t="s">
        <v>567</v>
      </c>
      <c r="B226" s="166" t="str">
        <f>'N1 Fitment'!S18</f>
        <v>Opt1</v>
      </c>
      <c r="C226" s="160" t="s">
        <v>238</v>
      </c>
      <c r="G226" s="160" t="str">
        <f t="shared" si="7"/>
        <v/>
      </c>
    </row>
    <row r="227" spans="1:7">
      <c r="A227" s="160" t="s">
        <v>568</v>
      </c>
      <c r="B227" s="166" t="str">
        <f>'N1 Fitment'!S19</f>
        <v>Opt1</v>
      </c>
      <c r="C227" s="160" t="s">
        <v>238</v>
      </c>
      <c r="G227" s="160" t="str">
        <f t="shared" si="7"/>
        <v/>
      </c>
    </row>
    <row r="228" spans="1:7">
      <c r="A228" s="160" t="s">
        <v>323</v>
      </c>
      <c r="B228" s="166" t="str">
        <f>'N1 Fitment'!S20</f>
        <v>Opt1</v>
      </c>
      <c r="C228" s="160" t="s">
        <v>238</v>
      </c>
      <c r="G228" s="160" t="str">
        <f t="shared" si="7"/>
        <v/>
      </c>
    </row>
    <row r="229" spans="1:7">
      <c r="A229" s="160" t="s">
        <v>569</v>
      </c>
      <c r="B229" s="166" t="str">
        <f>'N1 Fitment'!S21</f>
        <v>Opt1</v>
      </c>
      <c r="C229" s="160" t="s">
        <v>238</v>
      </c>
      <c r="G229" s="160" t="str">
        <f t="shared" si="7"/>
        <v/>
      </c>
    </row>
    <row r="230" spans="1:7">
      <c r="A230" s="160" t="s">
        <v>570</v>
      </c>
      <c r="B230" s="166" t="str">
        <f>'N1 Fitment'!S22</f>
        <v>Opt1</v>
      </c>
      <c r="C230" s="160" t="s">
        <v>238</v>
      </c>
      <c r="G230" s="160" t="str">
        <f t="shared" si="7"/>
        <v/>
      </c>
    </row>
    <row r="231" spans="1:7">
      <c r="A231" s="160" t="s">
        <v>324</v>
      </c>
      <c r="B231" s="166" t="str">
        <f>'N1 Fitment'!S23</f>
        <v>Opt1</v>
      </c>
      <c r="C231" s="160" t="s">
        <v>238</v>
      </c>
      <c r="G231" s="160" t="str">
        <f t="shared" si="7"/>
        <v/>
      </c>
    </row>
    <row r="232" spans="1:7">
      <c r="A232" s="160" t="s">
        <v>571</v>
      </c>
      <c r="B232" s="166" t="str">
        <f>'N1 Fitment'!S24</f>
        <v>Opt1</v>
      </c>
      <c r="C232" s="160" t="s">
        <v>238</v>
      </c>
      <c r="G232" s="160" t="str">
        <f t="shared" si="7"/>
        <v/>
      </c>
    </row>
    <row r="233" spans="1:7">
      <c r="A233" s="160" t="s">
        <v>326</v>
      </c>
      <c r="B233" s="166" t="str">
        <f>'N1 Fitment'!S25</f>
        <v>Opt1</v>
      </c>
      <c r="C233" s="160" t="s">
        <v>238</v>
      </c>
      <c r="G233" s="160" t="str">
        <f t="shared" si="7"/>
        <v/>
      </c>
    </row>
    <row r="234" spans="1:7">
      <c r="A234" s="160" t="s">
        <v>572</v>
      </c>
      <c r="B234" s="166" t="str">
        <f>'N1 Fitment'!S27</f>
        <v>Opt1</v>
      </c>
      <c r="C234" s="160" t="s">
        <v>238</v>
      </c>
      <c r="G234" s="160" t="str">
        <f t="shared" si="7"/>
        <v/>
      </c>
    </row>
    <row r="235" spans="1:7">
      <c r="A235" s="160" t="s">
        <v>573</v>
      </c>
      <c r="B235" s="166" t="str">
        <f>'N1 Fitment'!S28</f>
        <v>Opt1</v>
      </c>
      <c r="C235" s="160" t="s">
        <v>238</v>
      </c>
      <c r="G235" s="160" t="str">
        <f t="shared" si="7"/>
        <v/>
      </c>
    </row>
    <row r="236" spans="1:7">
      <c r="A236" s="160" t="s">
        <v>574</v>
      </c>
      <c r="B236" s="166" t="str">
        <f>'N1 Fitment'!S29</f>
        <v>Opt1</v>
      </c>
      <c r="C236" s="160" t="s">
        <v>238</v>
      </c>
      <c r="G236" s="160" t="str">
        <f t="shared" si="7"/>
        <v/>
      </c>
    </row>
    <row r="237" spans="1:7">
      <c r="A237" s="160" t="s">
        <v>575</v>
      </c>
      <c r="B237" s="166" t="str">
        <f>'N1 Fitment'!S30</f>
        <v>Opt1</v>
      </c>
      <c r="C237" s="160" t="s">
        <v>238</v>
      </c>
      <c r="G237" s="160" t="str">
        <f t="shared" si="7"/>
        <v/>
      </c>
    </row>
    <row r="238" spans="1:7">
      <c r="A238" s="160" t="s">
        <v>576</v>
      </c>
      <c r="B238" s="166" t="str">
        <f>'N1 Fitment'!S31</f>
        <v>Opt1</v>
      </c>
      <c r="C238" s="160" t="s">
        <v>238</v>
      </c>
      <c r="G238" s="160" t="str">
        <f t="shared" si="7"/>
        <v/>
      </c>
    </row>
    <row r="239" spans="1:7">
      <c r="A239" s="160" t="s">
        <v>325</v>
      </c>
      <c r="B239" s="166" t="str">
        <f>'N1 Fitment'!S32</f>
        <v>Opt1</v>
      </c>
      <c r="C239" s="160" t="s">
        <v>238</v>
      </c>
      <c r="G239" s="160" t="str">
        <f t="shared" si="7"/>
        <v/>
      </c>
    </row>
    <row r="240" spans="1:7">
      <c r="A240" s="160" t="s">
        <v>577</v>
      </c>
      <c r="B240" s="166" t="str">
        <f>'N1 Fitment'!S33</f>
        <v>Opt1</v>
      </c>
      <c r="C240" s="160" t="s">
        <v>238</v>
      </c>
      <c r="G240" s="160" t="str">
        <f t="shared" si="7"/>
        <v/>
      </c>
    </row>
    <row r="241" spans="1:7">
      <c r="A241" s="160" t="s">
        <v>578</v>
      </c>
      <c r="B241" s="166" t="str">
        <f>'N1 Fitment'!S34</f>
        <v>Opt1</v>
      </c>
      <c r="C241" s="160" t="s">
        <v>238</v>
      </c>
      <c r="G241" s="160" t="str">
        <f t="shared" si="7"/>
        <v/>
      </c>
    </row>
    <row r="242" spans="1:7">
      <c r="A242" s="160" t="s">
        <v>579</v>
      </c>
      <c r="B242" s="166" t="str">
        <f>'N1 Fitment'!Z6</f>
        <v>Opt1</v>
      </c>
      <c r="C242" s="160" t="s">
        <v>238</v>
      </c>
      <c r="G242" s="160" t="str">
        <f t="shared" si="7"/>
        <v/>
      </c>
    </row>
    <row r="243" spans="1:7">
      <c r="A243" s="160" t="s">
        <v>580</v>
      </c>
      <c r="B243" s="166" t="str">
        <f>'N1 Fitment'!Z7</f>
        <v>Opt1</v>
      </c>
      <c r="C243" s="160" t="s">
        <v>238</v>
      </c>
      <c r="G243" s="160" t="str">
        <f t="shared" si="7"/>
        <v/>
      </c>
    </row>
    <row r="244" spans="1:7">
      <c r="A244" s="160" t="s">
        <v>581</v>
      </c>
      <c r="B244" s="166" t="str">
        <f>'N1 Fitment'!Z8</f>
        <v>Opt1</v>
      </c>
      <c r="C244" s="160" t="s">
        <v>238</v>
      </c>
      <c r="G244" s="160" t="str">
        <f t="shared" si="7"/>
        <v/>
      </c>
    </row>
    <row r="245" spans="1:7">
      <c r="A245" s="160" t="s">
        <v>582</v>
      </c>
      <c r="B245" s="166" t="str">
        <f>'N1 Fitment'!Z9</f>
        <v>Opt1</v>
      </c>
      <c r="C245" s="160" t="s">
        <v>238</v>
      </c>
      <c r="G245" s="160" t="str">
        <f t="shared" si="7"/>
        <v/>
      </c>
    </row>
    <row r="246" spans="1:7">
      <c r="A246" s="160" t="s">
        <v>583</v>
      </c>
      <c r="B246" s="166" t="str">
        <f>'N1 Fitment'!Z10</f>
        <v>Opt1</v>
      </c>
      <c r="C246" s="160" t="s">
        <v>238</v>
      </c>
      <c r="G246" s="160" t="str">
        <f t="shared" si="7"/>
        <v/>
      </c>
    </row>
    <row r="247" spans="1:7">
      <c r="A247" s="160" t="s">
        <v>584</v>
      </c>
      <c r="B247" s="166" t="str">
        <f>'N1 Fitment'!Z11</f>
        <v>Opt1</v>
      </c>
      <c r="C247" s="160" t="s">
        <v>238</v>
      </c>
      <c r="G247" s="160" t="str">
        <f t="shared" si="7"/>
        <v/>
      </c>
    </row>
    <row r="248" spans="1:7">
      <c r="A248" s="160" t="s">
        <v>585</v>
      </c>
      <c r="B248" s="166" t="str">
        <f>'N1 Fitment'!Z12</f>
        <v>Opt1</v>
      </c>
      <c r="C248" s="160" t="s">
        <v>238</v>
      </c>
      <c r="G248" s="160" t="str">
        <f t="shared" si="7"/>
        <v/>
      </c>
    </row>
    <row r="249" spans="1:7">
      <c r="A249" s="160" t="s">
        <v>586</v>
      </c>
      <c r="B249" s="166" t="str">
        <f>'N1 Fitment'!Z13</f>
        <v>Opt1</v>
      </c>
      <c r="C249" s="160" t="s">
        <v>238</v>
      </c>
      <c r="G249" s="160" t="str">
        <f t="shared" si="7"/>
        <v/>
      </c>
    </row>
    <row r="250" spans="1:7">
      <c r="A250" s="160" t="s">
        <v>587</v>
      </c>
      <c r="B250" s="166" t="str">
        <f>'N1 Fitment'!Z14</f>
        <v>Opt1</v>
      </c>
      <c r="C250" s="160" t="s">
        <v>238</v>
      </c>
      <c r="G250" s="160" t="str">
        <f t="shared" si="7"/>
        <v/>
      </c>
    </row>
    <row r="251" spans="1:7">
      <c r="A251" s="160" t="s">
        <v>327</v>
      </c>
      <c r="B251" s="166" t="str">
        <f>'N1 Fitment'!Z15</f>
        <v>Opt1</v>
      </c>
      <c r="C251" s="160" t="s">
        <v>238</v>
      </c>
      <c r="G251" s="160" t="str">
        <f t="shared" si="7"/>
        <v/>
      </c>
    </row>
    <row r="252" spans="1:7">
      <c r="A252" s="160" t="s">
        <v>328</v>
      </c>
      <c r="B252" s="166" t="str">
        <f>'N1 Fitment'!Z16</f>
        <v>Opt1</v>
      </c>
      <c r="C252" s="160" t="s">
        <v>238</v>
      </c>
      <c r="G252" s="160" t="str">
        <f t="shared" si="7"/>
        <v/>
      </c>
    </row>
    <row r="253" spans="1:7">
      <c r="A253" s="160" t="s">
        <v>588</v>
      </c>
      <c r="B253" s="166" t="str">
        <f>'N1 Fitment'!Z17</f>
        <v>Opt1</v>
      </c>
      <c r="C253" s="160" t="s">
        <v>238</v>
      </c>
      <c r="G253" s="160" t="str">
        <f t="shared" si="7"/>
        <v/>
      </c>
    </row>
    <row r="254" spans="1:7">
      <c r="A254" s="160" t="s">
        <v>589</v>
      </c>
      <c r="B254" s="166" t="str">
        <f>'N1 Fitment'!Z18</f>
        <v>Opt1</v>
      </c>
      <c r="C254" s="160" t="s">
        <v>238</v>
      </c>
      <c r="G254" s="160" t="str">
        <f t="shared" si="7"/>
        <v/>
      </c>
    </row>
    <row r="255" spans="1:7">
      <c r="A255" s="160" t="s">
        <v>590</v>
      </c>
      <c r="B255" s="166" t="str">
        <f>'N1 Fitment'!Z19</f>
        <v>Opt1</v>
      </c>
      <c r="C255" s="160" t="s">
        <v>238</v>
      </c>
      <c r="G255" s="160" t="str">
        <f t="shared" si="7"/>
        <v/>
      </c>
    </row>
    <row r="256" spans="1:7">
      <c r="A256" s="160" t="s">
        <v>329</v>
      </c>
      <c r="B256" s="166" t="str">
        <f>'N1 Fitment'!Z20</f>
        <v>Opt1</v>
      </c>
      <c r="C256" s="160" t="s">
        <v>238</v>
      </c>
      <c r="G256" s="160" t="str">
        <f t="shared" si="7"/>
        <v/>
      </c>
    </row>
    <row r="257" spans="1:7">
      <c r="A257" s="160" t="s">
        <v>591</v>
      </c>
      <c r="B257" s="166" t="str">
        <f>'N1 Fitment'!Z21</f>
        <v>Opt1</v>
      </c>
      <c r="C257" s="160" t="s">
        <v>238</v>
      </c>
      <c r="G257" s="160" t="str">
        <f t="shared" si="7"/>
        <v/>
      </c>
    </row>
    <row r="258" spans="1:7">
      <c r="A258" s="160" t="s">
        <v>592</v>
      </c>
      <c r="B258" s="166" t="str">
        <f>'N1 Fitment'!Z22</f>
        <v>Opt1</v>
      </c>
      <c r="C258" s="160" t="s">
        <v>238</v>
      </c>
      <c r="G258" s="160" t="str">
        <f t="shared" si="7"/>
        <v/>
      </c>
    </row>
    <row r="259" spans="1:7">
      <c r="A259" s="160" t="s">
        <v>330</v>
      </c>
      <c r="B259" s="166" t="str">
        <f>'N1 Fitment'!Z23</f>
        <v>Opt1</v>
      </c>
      <c r="C259" s="160" t="s">
        <v>238</v>
      </c>
      <c r="G259" s="160" t="str">
        <f t="shared" si="7"/>
        <v/>
      </c>
    </row>
    <row r="260" spans="1:7">
      <c r="A260" s="160" t="s">
        <v>593</v>
      </c>
      <c r="B260" s="166" t="str">
        <f>'N1 Fitment'!Z24</f>
        <v>Opt1</v>
      </c>
      <c r="C260" s="160" t="s">
        <v>238</v>
      </c>
      <c r="G260" s="160" t="str">
        <f t="shared" si="7"/>
        <v/>
      </c>
    </row>
    <row r="261" spans="1:7">
      <c r="A261" s="160" t="s">
        <v>332</v>
      </c>
      <c r="B261" s="166" t="str">
        <f>'N1 Fitment'!Z25</f>
        <v>Opt1</v>
      </c>
      <c r="C261" s="160" t="s">
        <v>238</v>
      </c>
      <c r="G261" s="160" t="str">
        <f t="shared" si="7"/>
        <v/>
      </c>
    </row>
    <row r="262" spans="1:7">
      <c r="A262" s="160" t="s">
        <v>594</v>
      </c>
      <c r="B262" s="166" t="str">
        <f>'N1 Fitment'!Z27</f>
        <v>Opt1</v>
      </c>
      <c r="C262" s="160" t="s">
        <v>238</v>
      </c>
      <c r="G262" s="160" t="str">
        <f t="shared" ref="G262:G325" si="8">IF(OR(B262=0,B262=" ",B262=""),0,"")</f>
        <v/>
      </c>
    </row>
    <row r="263" spans="1:7">
      <c r="A263" s="160" t="s">
        <v>595</v>
      </c>
      <c r="B263" s="166" t="str">
        <f>'N1 Fitment'!Z28</f>
        <v>Opt1</v>
      </c>
      <c r="C263" s="160" t="s">
        <v>238</v>
      </c>
      <c r="G263" s="160" t="str">
        <f t="shared" si="8"/>
        <v/>
      </c>
    </row>
    <row r="264" spans="1:7">
      <c r="A264" s="160" t="s">
        <v>596</v>
      </c>
      <c r="B264" s="166" t="str">
        <f>'N1 Fitment'!Z29</f>
        <v>Opt1</v>
      </c>
      <c r="C264" s="160" t="s">
        <v>238</v>
      </c>
      <c r="G264" s="160" t="str">
        <f t="shared" si="8"/>
        <v/>
      </c>
    </row>
    <row r="265" spans="1:7">
      <c r="A265" s="160" t="s">
        <v>597</v>
      </c>
      <c r="B265" s="166" t="str">
        <f>'N1 Fitment'!Z30</f>
        <v>Opt1</v>
      </c>
      <c r="C265" s="160" t="s">
        <v>238</v>
      </c>
      <c r="G265" s="160" t="str">
        <f t="shared" si="8"/>
        <v/>
      </c>
    </row>
    <row r="266" spans="1:7">
      <c r="A266" s="160" t="s">
        <v>598</v>
      </c>
      <c r="B266" s="166" t="str">
        <f>'N1 Fitment'!Z31</f>
        <v>Opt1</v>
      </c>
      <c r="C266" s="160" t="s">
        <v>238</v>
      </c>
      <c r="G266" s="160" t="str">
        <f t="shared" si="8"/>
        <v/>
      </c>
    </row>
    <row r="267" spans="1:7">
      <c r="A267" s="160" t="s">
        <v>331</v>
      </c>
      <c r="B267" s="166" t="str">
        <f>'N1 Fitment'!Z32</f>
        <v>Opt1</v>
      </c>
      <c r="C267" s="160" t="s">
        <v>238</v>
      </c>
      <c r="G267" s="160" t="str">
        <f t="shared" si="8"/>
        <v/>
      </c>
    </row>
    <row r="268" spans="1:7">
      <c r="A268" s="160" t="s">
        <v>599</v>
      </c>
      <c r="B268" s="166" t="str">
        <f>'N1 Fitment'!Z33</f>
        <v>Opt1</v>
      </c>
      <c r="C268" s="160" t="s">
        <v>238</v>
      </c>
      <c r="G268" s="160" t="str">
        <f t="shared" si="8"/>
        <v/>
      </c>
    </row>
    <row r="269" spans="1:7">
      <c r="A269" s="160" t="s">
        <v>600</v>
      </c>
      <c r="B269" s="166" t="str">
        <f>'N1 Fitment'!Z34</f>
        <v>Opt1</v>
      </c>
      <c r="C269" s="160" t="s">
        <v>238</v>
      </c>
      <c r="G269" s="160" t="str">
        <f t="shared" si="8"/>
        <v/>
      </c>
    </row>
    <row r="270" spans="1:7">
      <c r="A270" s="160" t="s">
        <v>601</v>
      </c>
      <c r="B270" s="166" t="str">
        <f>'N1 Fitment'!Y6</f>
        <v>Opt1</v>
      </c>
      <c r="C270" s="160" t="s">
        <v>238</v>
      </c>
      <c r="G270" s="160" t="str">
        <f t="shared" si="8"/>
        <v/>
      </c>
    </row>
    <row r="271" spans="1:7">
      <c r="A271" s="160" t="s">
        <v>602</v>
      </c>
      <c r="B271" s="166" t="str">
        <f>'N1 Fitment'!Y7</f>
        <v>Opt1</v>
      </c>
      <c r="C271" s="160" t="s">
        <v>238</v>
      </c>
      <c r="G271" s="160" t="str">
        <f t="shared" si="8"/>
        <v/>
      </c>
    </row>
    <row r="272" spans="1:7">
      <c r="A272" s="160" t="s">
        <v>603</v>
      </c>
      <c r="B272" s="166" t="str">
        <f>'N1 Fitment'!Y8</f>
        <v>Opt1</v>
      </c>
      <c r="C272" s="160" t="s">
        <v>238</v>
      </c>
      <c r="G272" s="160" t="str">
        <f t="shared" si="8"/>
        <v/>
      </c>
    </row>
    <row r="273" spans="1:7">
      <c r="A273" s="160" t="s">
        <v>604</v>
      </c>
      <c r="B273" s="166" t="str">
        <f>'N1 Fitment'!Y9</f>
        <v>Opt1</v>
      </c>
      <c r="C273" s="160" t="s">
        <v>238</v>
      </c>
      <c r="G273" s="160" t="str">
        <f t="shared" si="8"/>
        <v/>
      </c>
    </row>
    <row r="274" spans="1:7">
      <c r="A274" s="160" t="s">
        <v>605</v>
      </c>
      <c r="B274" s="166" t="str">
        <f>'N1 Fitment'!Y10</f>
        <v>Opt1</v>
      </c>
      <c r="C274" s="160" t="s">
        <v>238</v>
      </c>
      <c r="G274" s="160" t="str">
        <f t="shared" si="8"/>
        <v/>
      </c>
    </row>
    <row r="275" spans="1:7">
      <c r="A275" s="160" t="s">
        <v>606</v>
      </c>
      <c r="B275" s="166" t="str">
        <f>'N1 Fitment'!Y11</f>
        <v>Opt1</v>
      </c>
      <c r="C275" s="160" t="s">
        <v>238</v>
      </c>
      <c r="G275" s="160" t="str">
        <f t="shared" si="8"/>
        <v/>
      </c>
    </row>
    <row r="276" spans="1:7">
      <c r="A276" s="160" t="s">
        <v>607</v>
      </c>
      <c r="B276" s="166" t="str">
        <f>'N1 Fitment'!Y12</f>
        <v>Opt1</v>
      </c>
      <c r="C276" s="160" t="s">
        <v>238</v>
      </c>
      <c r="G276" s="160" t="str">
        <f t="shared" si="8"/>
        <v/>
      </c>
    </row>
    <row r="277" spans="1:7">
      <c r="A277" s="160" t="s">
        <v>608</v>
      </c>
      <c r="B277" s="166" t="str">
        <f>'N1 Fitment'!Y13</f>
        <v>Opt1</v>
      </c>
      <c r="C277" s="160" t="s">
        <v>238</v>
      </c>
      <c r="G277" s="160" t="str">
        <f t="shared" si="8"/>
        <v/>
      </c>
    </row>
    <row r="278" spans="1:7">
      <c r="A278" s="160" t="s">
        <v>609</v>
      </c>
      <c r="B278" s="166" t="str">
        <f>'N1 Fitment'!Y14</f>
        <v>Opt1</v>
      </c>
      <c r="C278" s="160" t="s">
        <v>238</v>
      </c>
      <c r="G278" s="160" t="str">
        <f t="shared" si="8"/>
        <v/>
      </c>
    </row>
    <row r="279" spans="1:7">
      <c r="A279" s="160" t="s">
        <v>333</v>
      </c>
      <c r="B279" s="166" t="str">
        <f>'N1 Fitment'!Y15</f>
        <v>Opt1</v>
      </c>
      <c r="C279" s="160" t="s">
        <v>238</v>
      </c>
      <c r="G279" s="160" t="str">
        <f t="shared" si="8"/>
        <v/>
      </c>
    </row>
    <row r="280" spans="1:7">
      <c r="A280" s="160" t="s">
        <v>334</v>
      </c>
      <c r="B280" s="166" t="str">
        <f>'N1 Fitment'!Y16</f>
        <v>Opt1</v>
      </c>
      <c r="C280" s="160" t="s">
        <v>238</v>
      </c>
      <c r="G280" s="160" t="str">
        <f t="shared" si="8"/>
        <v/>
      </c>
    </row>
    <row r="281" spans="1:7">
      <c r="A281" s="160" t="s">
        <v>610</v>
      </c>
      <c r="B281" s="166" t="str">
        <f>'N1 Fitment'!Y17</f>
        <v>Opt1</v>
      </c>
      <c r="C281" s="160" t="s">
        <v>238</v>
      </c>
      <c r="G281" s="160" t="str">
        <f t="shared" si="8"/>
        <v/>
      </c>
    </row>
    <row r="282" spans="1:7">
      <c r="A282" s="160" t="s">
        <v>611</v>
      </c>
      <c r="B282" s="166" t="str">
        <f>'N1 Fitment'!Y18</f>
        <v>Opt1</v>
      </c>
      <c r="C282" s="160" t="s">
        <v>238</v>
      </c>
      <c r="G282" s="160" t="str">
        <f t="shared" si="8"/>
        <v/>
      </c>
    </row>
    <row r="283" spans="1:7">
      <c r="A283" s="160" t="s">
        <v>612</v>
      </c>
      <c r="B283" s="166" t="str">
        <f>'N1 Fitment'!Y19</f>
        <v>Opt1</v>
      </c>
      <c r="C283" s="160" t="s">
        <v>238</v>
      </c>
      <c r="G283" s="160" t="str">
        <f t="shared" si="8"/>
        <v/>
      </c>
    </row>
    <row r="284" spans="1:7">
      <c r="A284" s="160" t="s">
        <v>335</v>
      </c>
      <c r="B284" s="166" t="str">
        <f>'N1 Fitment'!Y20</f>
        <v>Opt1</v>
      </c>
      <c r="C284" s="160" t="s">
        <v>238</v>
      </c>
      <c r="G284" s="160" t="str">
        <f t="shared" si="8"/>
        <v/>
      </c>
    </row>
    <row r="285" spans="1:7">
      <c r="A285" s="160" t="s">
        <v>613</v>
      </c>
      <c r="B285" s="166" t="str">
        <f>'N1 Fitment'!Y21</f>
        <v>Opt1</v>
      </c>
      <c r="C285" s="160" t="s">
        <v>238</v>
      </c>
      <c r="G285" s="160" t="str">
        <f t="shared" si="8"/>
        <v/>
      </c>
    </row>
    <row r="286" spans="1:7">
      <c r="A286" s="160" t="s">
        <v>614</v>
      </c>
      <c r="B286" s="166" t="str">
        <f>'N1 Fitment'!Y22</f>
        <v>Opt1</v>
      </c>
      <c r="C286" s="160" t="s">
        <v>238</v>
      </c>
      <c r="G286" s="160" t="str">
        <f t="shared" si="8"/>
        <v/>
      </c>
    </row>
    <row r="287" spans="1:7">
      <c r="A287" s="160" t="s">
        <v>336</v>
      </c>
      <c r="B287" s="166" t="str">
        <f>'N1 Fitment'!Y23</f>
        <v>Opt1</v>
      </c>
      <c r="C287" s="160" t="s">
        <v>238</v>
      </c>
      <c r="G287" s="160" t="str">
        <f t="shared" si="8"/>
        <v/>
      </c>
    </row>
    <row r="288" spans="1:7">
      <c r="A288" s="160" t="s">
        <v>615</v>
      </c>
      <c r="B288" s="166" t="str">
        <f>'N1 Fitment'!Y24</f>
        <v>Opt1</v>
      </c>
      <c r="C288" s="160" t="s">
        <v>238</v>
      </c>
      <c r="G288" s="160" t="str">
        <f t="shared" si="8"/>
        <v/>
      </c>
    </row>
    <row r="289" spans="1:7">
      <c r="A289" s="160" t="s">
        <v>338</v>
      </c>
      <c r="B289" s="166" t="str">
        <f>'N1 Fitment'!Y25</f>
        <v>Opt1</v>
      </c>
      <c r="C289" s="160" t="s">
        <v>238</v>
      </c>
      <c r="G289" s="160" t="str">
        <f t="shared" si="8"/>
        <v/>
      </c>
    </row>
    <row r="290" spans="1:7">
      <c r="A290" s="160" t="s">
        <v>616</v>
      </c>
      <c r="B290" s="166" t="str">
        <f>'N1 Fitment'!Y27</f>
        <v>Opt1</v>
      </c>
      <c r="C290" s="160" t="s">
        <v>238</v>
      </c>
      <c r="G290" s="160" t="str">
        <f t="shared" si="8"/>
        <v/>
      </c>
    </row>
    <row r="291" spans="1:7">
      <c r="A291" s="160" t="s">
        <v>617</v>
      </c>
      <c r="B291" s="166" t="str">
        <f>'N1 Fitment'!Y28</f>
        <v>Opt1</v>
      </c>
      <c r="C291" s="160" t="s">
        <v>238</v>
      </c>
      <c r="G291" s="160" t="str">
        <f t="shared" si="8"/>
        <v/>
      </c>
    </row>
    <row r="292" spans="1:7">
      <c r="A292" s="160" t="s">
        <v>618</v>
      </c>
      <c r="B292" s="166" t="str">
        <f>'N1 Fitment'!Y29</f>
        <v>Opt1</v>
      </c>
      <c r="C292" s="160" t="s">
        <v>238</v>
      </c>
      <c r="G292" s="160" t="str">
        <f t="shared" si="8"/>
        <v/>
      </c>
    </row>
    <row r="293" spans="1:7">
      <c r="A293" s="160" t="s">
        <v>619</v>
      </c>
      <c r="B293" s="166" t="str">
        <f>'N1 Fitment'!Y30</f>
        <v>Opt1</v>
      </c>
      <c r="C293" s="160" t="s">
        <v>238</v>
      </c>
      <c r="G293" s="160" t="str">
        <f t="shared" si="8"/>
        <v/>
      </c>
    </row>
    <row r="294" spans="1:7">
      <c r="A294" s="160" t="s">
        <v>620</v>
      </c>
      <c r="B294" s="166" t="str">
        <f>'N1 Fitment'!Y31</f>
        <v>Opt1</v>
      </c>
      <c r="C294" s="160" t="s">
        <v>238</v>
      </c>
      <c r="G294" s="160" t="str">
        <f t="shared" si="8"/>
        <v/>
      </c>
    </row>
    <row r="295" spans="1:7">
      <c r="A295" s="160" t="s">
        <v>337</v>
      </c>
      <c r="B295" s="166" t="str">
        <f>'N1 Fitment'!Y32</f>
        <v>Opt1</v>
      </c>
      <c r="C295" s="160" t="s">
        <v>238</v>
      </c>
      <c r="G295" s="160" t="str">
        <f t="shared" si="8"/>
        <v/>
      </c>
    </row>
    <row r="296" spans="1:7">
      <c r="A296" s="160" t="s">
        <v>621</v>
      </c>
      <c r="B296" s="166" t="str">
        <f>'N1 Fitment'!Y33</f>
        <v>Opt1</v>
      </c>
      <c r="C296" s="160" t="s">
        <v>238</v>
      </c>
      <c r="G296" s="160" t="str">
        <f t="shared" si="8"/>
        <v/>
      </c>
    </row>
    <row r="297" spans="1:7">
      <c r="A297" s="160" t="s">
        <v>622</v>
      </c>
      <c r="B297" s="166" t="str">
        <f>'N1 Fitment'!Y34</f>
        <v>Opt1</v>
      </c>
      <c r="C297" s="160" t="s">
        <v>238</v>
      </c>
      <c r="G297" s="160" t="str">
        <f t="shared" si="8"/>
        <v/>
      </c>
    </row>
    <row r="298" spans="1:7">
      <c r="A298" s="160" t="s">
        <v>623</v>
      </c>
      <c r="B298" s="166" t="str">
        <f>'N1 Fitment'!V6</f>
        <v>Std</v>
      </c>
      <c r="C298" s="160" t="s">
        <v>238</v>
      </c>
      <c r="G298" s="160" t="str">
        <f t="shared" si="8"/>
        <v/>
      </c>
    </row>
    <row r="299" spans="1:7">
      <c r="A299" s="160" t="s">
        <v>624</v>
      </c>
      <c r="B299" s="166" t="str">
        <f>'N1 Fitment'!V7</f>
        <v>Std</v>
      </c>
      <c r="C299" s="160" t="s">
        <v>238</v>
      </c>
      <c r="G299" s="160" t="str">
        <f t="shared" si="8"/>
        <v/>
      </c>
    </row>
    <row r="300" spans="1:7">
      <c r="A300" s="160" t="s">
        <v>625</v>
      </c>
      <c r="B300" s="166" t="str">
        <f>'N1 Fitment'!V8</f>
        <v>Std</v>
      </c>
      <c r="C300" s="160" t="s">
        <v>238</v>
      </c>
      <c r="G300" s="160" t="str">
        <f t="shared" si="8"/>
        <v/>
      </c>
    </row>
    <row r="301" spans="1:7">
      <c r="A301" s="160" t="s">
        <v>626</v>
      </c>
      <c r="B301" s="166" t="str">
        <f>'N1 Fitment'!V9</f>
        <v>Std</v>
      </c>
      <c r="C301" s="160" t="s">
        <v>238</v>
      </c>
      <c r="G301" s="160" t="str">
        <f t="shared" si="8"/>
        <v/>
      </c>
    </row>
    <row r="302" spans="1:7">
      <c r="A302" s="160" t="s">
        <v>627</v>
      </c>
      <c r="B302" s="166" t="str">
        <f>'N1 Fitment'!V10</f>
        <v>Std</v>
      </c>
      <c r="C302" s="160" t="s">
        <v>238</v>
      </c>
      <c r="G302" s="160" t="str">
        <f t="shared" si="8"/>
        <v/>
      </c>
    </row>
    <row r="303" spans="1:7">
      <c r="A303" s="160" t="s">
        <v>628</v>
      </c>
      <c r="B303" s="166" t="str">
        <f>'N1 Fitment'!V11</f>
        <v>Std</v>
      </c>
      <c r="C303" s="160" t="s">
        <v>238</v>
      </c>
      <c r="G303" s="160" t="str">
        <f t="shared" si="8"/>
        <v/>
      </c>
    </row>
    <row r="304" spans="1:7">
      <c r="A304" s="160" t="s">
        <v>629</v>
      </c>
      <c r="B304" s="166" t="str">
        <f>'N1 Fitment'!V12</f>
        <v>Std</v>
      </c>
      <c r="C304" s="160" t="s">
        <v>238</v>
      </c>
      <c r="G304" s="160" t="str">
        <f t="shared" si="8"/>
        <v/>
      </c>
    </row>
    <row r="305" spans="1:7">
      <c r="A305" s="160" t="s">
        <v>630</v>
      </c>
      <c r="B305" s="166" t="str">
        <f>'N1 Fitment'!V13</f>
        <v>Std</v>
      </c>
      <c r="C305" s="160" t="s">
        <v>238</v>
      </c>
      <c r="G305" s="160" t="str">
        <f t="shared" si="8"/>
        <v/>
      </c>
    </row>
    <row r="306" spans="1:7">
      <c r="A306" s="160" t="s">
        <v>631</v>
      </c>
      <c r="B306" s="166" t="str">
        <f>'N1 Fitment'!V14</f>
        <v>Std</v>
      </c>
      <c r="C306" s="160" t="s">
        <v>238</v>
      </c>
      <c r="G306" s="160" t="str">
        <f t="shared" si="8"/>
        <v/>
      </c>
    </row>
    <row r="307" spans="1:7">
      <c r="A307" s="160" t="s">
        <v>339</v>
      </c>
      <c r="B307" s="166" t="str">
        <f>'N1 Fitment'!V15</f>
        <v>Std</v>
      </c>
      <c r="C307" s="160" t="s">
        <v>238</v>
      </c>
      <c r="G307" s="160" t="str">
        <f t="shared" si="8"/>
        <v/>
      </c>
    </row>
    <row r="308" spans="1:7">
      <c r="A308" s="160" t="s">
        <v>340</v>
      </c>
      <c r="B308" s="166" t="str">
        <f>'N1 Fitment'!V16</f>
        <v>Std</v>
      </c>
      <c r="C308" s="160" t="s">
        <v>238</v>
      </c>
      <c r="G308" s="160" t="str">
        <f t="shared" si="8"/>
        <v/>
      </c>
    </row>
    <row r="309" spans="1:7">
      <c r="A309" s="160" t="s">
        <v>632</v>
      </c>
      <c r="B309" s="166" t="str">
        <f>'N1 Fitment'!V17</f>
        <v>Std</v>
      </c>
      <c r="C309" s="160" t="s">
        <v>238</v>
      </c>
      <c r="G309" s="160" t="str">
        <f t="shared" si="8"/>
        <v/>
      </c>
    </row>
    <row r="310" spans="1:7">
      <c r="A310" s="160" t="s">
        <v>633</v>
      </c>
      <c r="B310" s="166" t="str">
        <f>'N1 Fitment'!V18</f>
        <v>Std</v>
      </c>
      <c r="C310" s="160" t="s">
        <v>238</v>
      </c>
      <c r="G310" s="160" t="str">
        <f t="shared" si="8"/>
        <v/>
      </c>
    </row>
    <row r="311" spans="1:7">
      <c r="A311" s="160" t="s">
        <v>634</v>
      </c>
      <c r="B311" s="166" t="str">
        <f>'N1 Fitment'!V19</f>
        <v>Std</v>
      </c>
      <c r="C311" s="160" t="s">
        <v>238</v>
      </c>
      <c r="G311" s="160" t="str">
        <f t="shared" si="8"/>
        <v/>
      </c>
    </row>
    <row r="312" spans="1:7">
      <c r="A312" s="160" t="s">
        <v>341</v>
      </c>
      <c r="B312" s="166" t="str">
        <f>'N1 Fitment'!V20</f>
        <v>Std</v>
      </c>
      <c r="C312" s="160" t="s">
        <v>238</v>
      </c>
      <c r="G312" s="160" t="str">
        <f t="shared" si="8"/>
        <v/>
      </c>
    </row>
    <row r="313" spans="1:7">
      <c r="A313" s="160" t="s">
        <v>635</v>
      </c>
      <c r="B313" s="166" t="str">
        <f>'N1 Fitment'!V21</f>
        <v>Std</v>
      </c>
      <c r="C313" s="160" t="s">
        <v>238</v>
      </c>
      <c r="G313" s="160" t="str">
        <f t="shared" si="8"/>
        <v/>
      </c>
    </row>
    <row r="314" spans="1:7">
      <c r="A314" s="160" t="s">
        <v>636</v>
      </c>
      <c r="B314" s="166" t="str">
        <f>'N1 Fitment'!V22</f>
        <v>Std</v>
      </c>
      <c r="C314" s="160" t="s">
        <v>238</v>
      </c>
      <c r="G314" s="160" t="str">
        <f t="shared" si="8"/>
        <v/>
      </c>
    </row>
    <row r="315" spans="1:7">
      <c r="A315" s="160" t="s">
        <v>342</v>
      </c>
      <c r="B315" s="166" t="str">
        <f>'N1 Fitment'!V23</f>
        <v>Std</v>
      </c>
      <c r="C315" s="160" t="s">
        <v>238</v>
      </c>
      <c r="G315" s="160" t="str">
        <f t="shared" si="8"/>
        <v/>
      </c>
    </row>
    <row r="316" spans="1:7">
      <c r="A316" s="160" t="s">
        <v>637</v>
      </c>
      <c r="B316" s="166" t="str">
        <f>'N1 Fitment'!V24</f>
        <v>Std</v>
      </c>
      <c r="C316" s="160" t="s">
        <v>238</v>
      </c>
      <c r="G316" s="160" t="str">
        <f t="shared" si="8"/>
        <v/>
      </c>
    </row>
    <row r="317" spans="1:7">
      <c r="A317" s="160" t="s">
        <v>344</v>
      </c>
      <c r="B317" s="166" t="str">
        <f>'N1 Fitment'!V25</f>
        <v>Std</v>
      </c>
      <c r="C317" s="160" t="s">
        <v>238</v>
      </c>
      <c r="G317" s="160" t="str">
        <f t="shared" si="8"/>
        <v/>
      </c>
    </row>
    <row r="318" spans="1:7">
      <c r="A318" s="160" t="s">
        <v>638</v>
      </c>
      <c r="B318" s="166" t="str">
        <f>'N1 Fitment'!V27</f>
        <v>Std</v>
      </c>
      <c r="C318" s="160" t="s">
        <v>238</v>
      </c>
      <c r="G318" s="160" t="str">
        <f t="shared" si="8"/>
        <v/>
      </c>
    </row>
    <row r="319" spans="1:7">
      <c r="A319" s="160" t="s">
        <v>639</v>
      </c>
      <c r="B319" s="166" t="str">
        <f>'N1 Fitment'!V28</f>
        <v>Std</v>
      </c>
      <c r="C319" s="160" t="s">
        <v>238</v>
      </c>
      <c r="G319" s="160" t="str">
        <f t="shared" si="8"/>
        <v/>
      </c>
    </row>
    <row r="320" spans="1:7">
      <c r="A320" s="160" t="s">
        <v>640</v>
      </c>
      <c r="B320" s="166" t="str">
        <f>'N1 Fitment'!V29</f>
        <v>Std</v>
      </c>
      <c r="C320" s="160" t="s">
        <v>238</v>
      </c>
      <c r="G320" s="160" t="str">
        <f t="shared" si="8"/>
        <v/>
      </c>
    </row>
    <row r="321" spans="1:7">
      <c r="A321" s="160" t="s">
        <v>641</v>
      </c>
      <c r="B321" s="166" t="str">
        <f>'N1 Fitment'!V30</f>
        <v>Std</v>
      </c>
      <c r="C321" s="160" t="s">
        <v>238</v>
      </c>
      <c r="G321" s="160" t="str">
        <f t="shared" si="8"/>
        <v/>
      </c>
    </row>
    <row r="322" spans="1:7">
      <c r="A322" s="160" t="s">
        <v>642</v>
      </c>
      <c r="B322" s="166" t="str">
        <f>'N1 Fitment'!V31</f>
        <v>Std</v>
      </c>
      <c r="C322" s="160" t="s">
        <v>238</v>
      </c>
      <c r="G322" s="160" t="str">
        <f t="shared" si="8"/>
        <v/>
      </c>
    </row>
    <row r="323" spans="1:7">
      <c r="A323" s="160" t="s">
        <v>343</v>
      </c>
      <c r="B323" s="166" t="str">
        <f>'N1 Fitment'!V32</f>
        <v>Std</v>
      </c>
      <c r="C323" s="160" t="s">
        <v>238</v>
      </c>
      <c r="G323" s="160" t="str">
        <f t="shared" si="8"/>
        <v/>
      </c>
    </row>
    <row r="324" spans="1:7">
      <c r="A324" s="160" t="s">
        <v>643</v>
      </c>
      <c r="B324" s="166" t="str">
        <f>'N1 Fitment'!V33</f>
        <v>Std</v>
      </c>
      <c r="C324" s="160" t="s">
        <v>238</v>
      </c>
      <c r="G324" s="160" t="str">
        <f t="shared" si="8"/>
        <v/>
      </c>
    </row>
    <row r="325" spans="1:7">
      <c r="A325" s="160" t="s">
        <v>644</v>
      </c>
      <c r="B325" s="166" t="str">
        <f>'N1 Fitment'!V34</f>
        <v>Std</v>
      </c>
      <c r="C325" s="160" t="s">
        <v>238</v>
      </c>
      <c r="G325" s="160" t="str">
        <f t="shared" si="8"/>
        <v/>
      </c>
    </row>
    <row r="326" spans="1:7">
      <c r="A326" s="160" t="s">
        <v>645</v>
      </c>
      <c r="B326" s="166" t="str">
        <f>'N1 Fitment'!X6</f>
        <v>Std</v>
      </c>
      <c r="C326" s="160" t="s">
        <v>238</v>
      </c>
      <c r="G326" s="160" t="str">
        <f t="shared" ref="G326:G389" si="9">IF(OR(B326=0,B326=" ",B326=""),0,"")</f>
        <v/>
      </c>
    </row>
    <row r="327" spans="1:7">
      <c r="A327" s="160" t="s">
        <v>646</v>
      </c>
      <c r="B327" s="166" t="str">
        <f>'N1 Fitment'!X7</f>
        <v>Std</v>
      </c>
      <c r="C327" s="160" t="s">
        <v>238</v>
      </c>
      <c r="G327" s="160" t="str">
        <f t="shared" si="9"/>
        <v/>
      </c>
    </row>
    <row r="328" spans="1:7">
      <c r="A328" s="160" t="s">
        <v>647</v>
      </c>
      <c r="B328" s="166" t="str">
        <f>'N1 Fitment'!X8</f>
        <v>Std</v>
      </c>
      <c r="C328" s="160" t="s">
        <v>238</v>
      </c>
      <c r="G328" s="160" t="str">
        <f t="shared" si="9"/>
        <v/>
      </c>
    </row>
    <row r="329" spans="1:7">
      <c r="A329" s="160" t="s">
        <v>648</v>
      </c>
      <c r="B329" s="166" t="str">
        <f>'N1 Fitment'!X9</f>
        <v>Std</v>
      </c>
      <c r="C329" s="160" t="s">
        <v>238</v>
      </c>
      <c r="G329" s="160" t="str">
        <f t="shared" si="9"/>
        <v/>
      </c>
    </row>
    <row r="330" spans="1:7">
      <c r="A330" s="160" t="s">
        <v>649</v>
      </c>
      <c r="B330" s="166" t="str">
        <f>'N1 Fitment'!X10</f>
        <v>Std</v>
      </c>
      <c r="C330" s="160" t="s">
        <v>238</v>
      </c>
      <c r="G330" s="160" t="str">
        <f t="shared" si="9"/>
        <v/>
      </c>
    </row>
    <row r="331" spans="1:7">
      <c r="A331" s="160" t="s">
        <v>650</v>
      </c>
      <c r="B331" s="166" t="str">
        <f>'N1 Fitment'!X11</f>
        <v>Std</v>
      </c>
      <c r="C331" s="160" t="s">
        <v>238</v>
      </c>
      <c r="G331" s="160" t="str">
        <f t="shared" si="9"/>
        <v/>
      </c>
    </row>
    <row r="332" spans="1:7">
      <c r="A332" s="160" t="s">
        <v>651</v>
      </c>
      <c r="B332" s="166" t="str">
        <f>'N1 Fitment'!X12</f>
        <v>Std</v>
      </c>
      <c r="C332" s="160" t="s">
        <v>238</v>
      </c>
      <c r="G332" s="160" t="str">
        <f t="shared" si="9"/>
        <v/>
      </c>
    </row>
    <row r="333" spans="1:7">
      <c r="A333" s="160" t="s">
        <v>652</v>
      </c>
      <c r="B333" s="166" t="str">
        <f>'N1 Fitment'!X13</f>
        <v>Std</v>
      </c>
      <c r="C333" s="160" t="s">
        <v>238</v>
      </c>
      <c r="G333" s="160" t="str">
        <f t="shared" si="9"/>
        <v/>
      </c>
    </row>
    <row r="334" spans="1:7">
      <c r="A334" s="160" t="s">
        <v>653</v>
      </c>
      <c r="B334" s="166" t="str">
        <f>'N1 Fitment'!X14</f>
        <v>Std</v>
      </c>
      <c r="C334" s="160" t="s">
        <v>238</v>
      </c>
      <c r="G334" s="160" t="str">
        <f t="shared" si="9"/>
        <v/>
      </c>
    </row>
    <row r="335" spans="1:7">
      <c r="A335" s="160" t="s">
        <v>345</v>
      </c>
      <c r="B335" s="166" t="str">
        <f>'N1 Fitment'!X15</f>
        <v>Std</v>
      </c>
      <c r="C335" s="160" t="s">
        <v>238</v>
      </c>
      <c r="G335" s="160" t="str">
        <f t="shared" si="9"/>
        <v/>
      </c>
    </row>
    <row r="336" spans="1:7">
      <c r="A336" s="160" t="s">
        <v>346</v>
      </c>
      <c r="B336" s="166" t="str">
        <f>'N1 Fitment'!X16</f>
        <v>Std</v>
      </c>
      <c r="C336" s="160" t="s">
        <v>238</v>
      </c>
      <c r="G336" s="160" t="str">
        <f t="shared" si="9"/>
        <v/>
      </c>
    </row>
    <row r="337" spans="1:7">
      <c r="A337" s="160" t="s">
        <v>654</v>
      </c>
      <c r="B337" s="166" t="str">
        <f>'N1 Fitment'!X17</f>
        <v>Std</v>
      </c>
      <c r="C337" s="160" t="s">
        <v>238</v>
      </c>
      <c r="G337" s="160" t="str">
        <f t="shared" si="9"/>
        <v/>
      </c>
    </row>
    <row r="338" spans="1:7">
      <c r="A338" s="160" t="s">
        <v>655</v>
      </c>
      <c r="B338" s="166" t="str">
        <f>'N1 Fitment'!X18</f>
        <v>Std</v>
      </c>
      <c r="C338" s="160" t="s">
        <v>238</v>
      </c>
      <c r="G338" s="160" t="str">
        <f t="shared" si="9"/>
        <v/>
      </c>
    </row>
    <row r="339" spans="1:7">
      <c r="A339" s="160" t="s">
        <v>656</v>
      </c>
      <c r="B339" s="166" t="str">
        <f>'N1 Fitment'!X19</f>
        <v>Std</v>
      </c>
      <c r="C339" s="160" t="s">
        <v>238</v>
      </c>
      <c r="G339" s="160" t="str">
        <f t="shared" si="9"/>
        <v/>
      </c>
    </row>
    <row r="340" spans="1:7">
      <c r="A340" s="160" t="s">
        <v>347</v>
      </c>
      <c r="B340" s="166" t="str">
        <f>'N1 Fitment'!X20</f>
        <v>Std</v>
      </c>
      <c r="C340" s="160" t="s">
        <v>238</v>
      </c>
      <c r="G340" s="160" t="str">
        <f t="shared" si="9"/>
        <v/>
      </c>
    </row>
    <row r="341" spans="1:7">
      <c r="A341" s="160" t="s">
        <v>657</v>
      </c>
      <c r="B341" s="166" t="str">
        <f>'N1 Fitment'!X21</f>
        <v>Std</v>
      </c>
      <c r="C341" s="160" t="s">
        <v>238</v>
      </c>
      <c r="G341" s="160" t="str">
        <f t="shared" si="9"/>
        <v/>
      </c>
    </row>
    <row r="342" spans="1:7">
      <c r="A342" s="160" t="s">
        <v>658</v>
      </c>
      <c r="B342" s="166" t="str">
        <f>'N1 Fitment'!X22</f>
        <v>Std</v>
      </c>
      <c r="C342" s="160" t="s">
        <v>238</v>
      </c>
      <c r="G342" s="160" t="str">
        <f t="shared" si="9"/>
        <v/>
      </c>
    </row>
    <row r="343" spans="1:7">
      <c r="A343" s="160" t="s">
        <v>348</v>
      </c>
      <c r="B343" s="166" t="str">
        <f>'N1 Fitment'!X23</f>
        <v>Std</v>
      </c>
      <c r="C343" s="160" t="s">
        <v>238</v>
      </c>
      <c r="G343" s="160" t="str">
        <f t="shared" si="9"/>
        <v/>
      </c>
    </row>
    <row r="344" spans="1:7">
      <c r="A344" s="160" t="s">
        <v>659</v>
      </c>
      <c r="B344" s="166" t="str">
        <f>'N1 Fitment'!X24</f>
        <v>Std</v>
      </c>
      <c r="C344" s="160" t="s">
        <v>238</v>
      </c>
      <c r="G344" s="160" t="str">
        <f t="shared" si="9"/>
        <v/>
      </c>
    </row>
    <row r="345" spans="1:7">
      <c r="A345" s="160" t="s">
        <v>350</v>
      </c>
      <c r="B345" s="166" t="str">
        <f>'N1 Fitment'!X25</f>
        <v>Std</v>
      </c>
      <c r="C345" s="160" t="s">
        <v>238</v>
      </c>
      <c r="G345" s="160" t="str">
        <f t="shared" si="9"/>
        <v/>
      </c>
    </row>
    <row r="346" spans="1:7">
      <c r="A346" s="160" t="s">
        <v>660</v>
      </c>
      <c r="B346" s="166" t="str">
        <f>'N1 Fitment'!X27</f>
        <v>Std</v>
      </c>
      <c r="C346" s="160" t="s">
        <v>238</v>
      </c>
      <c r="G346" s="160" t="str">
        <f t="shared" si="9"/>
        <v/>
      </c>
    </row>
    <row r="347" spans="1:7">
      <c r="A347" s="160" t="s">
        <v>661</v>
      </c>
      <c r="B347" s="166" t="str">
        <f>'N1 Fitment'!X28</f>
        <v>Std</v>
      </c>
      <c r="C347" s="160" t="s">
        <v>238</v>
      </c>
      <c r="G347" s="160" t="str">
        <f t="shared" si="9"/>
        <v/>
      </c>
    </row>
    <row r="348" spans="1:7">
      <c r="A348" s="160" t="s">
        <v>662</v>
      </c>
      <c r="B348" s="166" t="str">
        <f>'N1 Fitment'!X29</f>
        <v>Std</v>
      </c>
      <c r="C348" s="160" t="s">
        <v>238</v>
      </c>
      <c r="G348" s="160" t="str">
        <f t="shared" si="9"/>
        <v/>
      </c>
    </row>
    <row r="349" spans="1:7">
      <c r="A349" s="160" t="s">
        <v>663</v>
      </c>
      <c r="B349" s="166" t="str">
        <f>'N1 Fitment'!X30</f>
        <v>Std</v>
      </c>
      <c r="C349" s="160" t="s">
        <v>238</v>
      </c>
      <c r="G349" s="160" t="str">
        <f t="shared" si="9"/>
        <v/>
      </c>
    </row>
    <row r="350" spans="1:7">
      <c r="A350" s="160" t="s">
        <v>664</v>
      </c>
      <c r="B350" s="166" t="str">
        <f>'N1 Fitment'!X31</f>
        <v>Std</v>
      </c>
      <c r="C350" s="160" t="s">
        <v>238</v>
      </c>
      <c r="G350" s="160" t="str">
        <f t="shared" si="9"/>
        <v/>
      </c>
    </row>
    <row r="351" spans="1:7">
      <c r="A351" s="160" t="s">
        <v>349</v>
      </c>
      <c r="B351" s="166" t="str">
        <f>'N1 Fitment'!X32</f>
        <v>Std</v>
      </c>
      <c r="C351" s="160" t="s">
        <v>238</v>
      </c>
      <c r="G351" s="160" t="str">
        <f t="shared" si="9"/>
        <v/>
      </c>
    </row>
    <row r="352" spans="1:7">
      <c r="A352" s="160" t="s">
        <v>665</v>
      </c>
      <c r="B352" s="166" t="str">
        <f>'N1 Fitment'!X33</f>
        <v>Std</v>
      </c>
      <c r="C352" s="160" t="s">
        <v>238</v>
      </c>
      <c r="G352" s="160" t="str">
        <f t="shared" si="9"/>
        <v/>
      </c>
    </row>
    <row r="353" spans="1:7">
      <c r="A353" s="160" t="s">
        <v>666</v>
      </c>
      <c r="B353" s="166" t="str">
        <f>'N1 Fitment'!X34</f>
        <v>Std</v>
      </c>
      <c r="C353" s="160" t="s">
        <v>238</v>
      </c>
      <c r="G353" s="160" t="str">
        <f t="shared" si="9"/>
        <v/>
      </c>
    </row>
    <row r="354" spans="1:7">
      <c r="A354" s="160" t="s">
        <v>667</v>
      </c>
      <c r="B354" s="166" t="str">
        <f>'N1 Fitment'!T6</f>
        <v>Opt1</v>
      </c>
      <c r="C354" s="160" t="s">
        <v>238</v>
      </c>
      <c r="G354" s="160" t="str">
        <f t="shared" si="9"/>
        <v/>
      </c>
    </row>
    <row r="355" spans="1:7">
      <c r="A355" s="160" t="s">
        <v>668</v>
      </c>
      <c r="B355" s="166" t="str">
        <f>'N1 Fitment'!T7</f>
        <v>Opt1</v>
      </c>
      <c r="C355" s="160" t="s">
        <v>238</v>
      </c>
      <c r="G355" s="160" t="str">
        <f t="shared" si="9"/>
        <v/>
      </c>
    </row>
    <row r="356" spans="1:7">
      <c r="A356" s="160" t="s">
        <v>669</v>
      </c>
      <c r="B356" s="166" t="str">
        <f>'N1 Fitment'!T8</f>
        <v>Opt1</v>
      </c>
      <c r="C356" s="160" t="s">
        <v>238</v>
      </c>
      <c r="G356" s="160" t="str">
        <f t="shared" si="9"/>
        <v/>
      </c>
    </row>
    <row r="357" spans="1:7">
      <c r="A357" s="160" t="s">
        <v>670</v>
      </c>
      <c r="B357" s="166" t="str">
        <f>'N1 Fitment'!T9</f>
        <v>Opt1</v>
      </c>
      <c r="C357" s="160" t="s">
        <v>238</v>
      </c>
      <c r="G357" s="160" t="str">
        <f t="shared" si="9"/>
        <v/>
      </c>
    </row>
    <row r="358" spans="1:7">
      <c r="A358" s="160" t="s">
        <v>671</v>
      </c>
      <c r="B358" s="166" t="str">
        <f>'N1 Fitment'!T10</f>
        <v>Opt1</v>
      </c>
      <c r="C358" s="160" t="s">
        <v>238</v>
      </c>
      <c r="G358" s="160" t="str">
        <f t="shared" si="9"/>
        <v/>
      </c>
    </row>
    <row r="359" spans="1:7">
      <c r="A359" s="160" t="s">
        <v>672</v>
      </c>
      <c r="B359" s="166" t="str">
        <f>'N1 Fitment'!T11</f>
        <v>Opt1</v>
      </c>
      <c r="C359" s="160" t="s">
        <v>238</v>
      </c>
      <c r="G359" s="160" t="str">
        <f t="shared" si="9"/>
        <v/>
      </c>
    </row>
    <row r="360" spans="1:7">
      <c r="A360" s="160" t="s">
        <v>673</v>
      </c>
      <c r="B360" s="166" t="str">
        <f>'N1 Fitment'!T12</f>
        <v>Opt1</v>
      </c>
      <c r="C360" s="160" t="s">
        <v>238</v>
      </c>
      <c r="G360" s="160" t="str">
        <f t="shared" si="9"/>
        <v/>
      </c>
    </row>
    <row r="361" spans="1:7">
      <c r="A361" s="160" t="s">
        <v>674</v>
      </c>
      <c r="B361" s="166" t="str">
        <f>'N1 Fitment'!T13</f>
        <v>Opt1</v>
      </c>
      <c r="C361" s="160" t="s">
        <v>238</v>
      </c>
      <c r="G361" s="160" t="str">
        <f t="shared" si="9"/>
        <v/>
      </c>
    </row>
    <row r="362" spans="1:7">
      <c r="A362" s="160" t="s">
        <v>675</v>
      </c>
      <c r="B362" s="166" t="str">
        <f>'N1 Fitment'!T14</f>
        <v>Opt1</v>
      </c>
      <c r="C362" s="160" t="s">
        <v>238</v>
      </c>
      <c r="G362" s="160" t="str">
        <f t="shared" si="9"/>
        <v/>
      </c>
    </row>
    <row r="363" spans="1:7">
      <c r="A363" s="160" t="s">
        <v>351</v>
      </c>
      <c r="B363" s="166" t="str">
        <f>'N1 Fitment'!T15</f>
        <v>Opt1</v>
      </c>
      <c r="C363" s="160" t="s">
        <v>238</v>
      </c>
      <c r="G363" s="160" t="str">
        <f t="shared" si="9"/>
        <v/>
      </c>
    </row>
    <row r="364" spans="1:7">
      <c r="A364" s="160" t="s">
        <v>352</v>
      </c>
      <c r="B364" s="166" t="str">
        <f>'N1 Fitment'!T16</f>
        <v>Opt1</v>
      </c>
      <c r="C364" s="160" t="s">
        <v>238</v>
      </c>
      <c r="G364" s="160" t="str">
        <f t="shared" si="9"/>
        <v/>
      </c>
    </row>
    <row r="365" spans="1:7">
      <c r="A365" s="160" t="s">
        <v>676</v>
      </c>
      <c r="B365" s="166" t="str">
        <f>'N1 Fitment'!T17</f>
        <v>Opt1</v>
      </c>
      <c r="C365" s="160" t="s">
        <v>238</v>
      </c>
      <c r="G365" s="160" t="str">
        <f t="shared" si="9"/>
        <v/>
      </c>
    </row>
    <row r="366" spans="1:7">
      <c r="A366" s="160" t="s">
        <v>677</v>
      </c>
      <c r="B366" s="166" t="str">
        <f>'N1 Fitment'!T18</f>
        <v>Opt1</v>
      </c>
      <c r="C366" s="160" t="s">
        <v>238</v>
      </c>
      <c r="G366" s="160" t="str">
        <f t="shared" si="9"/>
        <v/>
      </c>
    </row>
    <row r="367" spans="1:7">
      <c r="A367" s="160" t="s">
        <v>678</v>
      </c>
      <c r="B367" s="166" t="str">
        <f>'N1 Fitment'!T19</f>
        <v>Opt1</v>
      </c>
      <c r="C367" s="160" t="s">
        <v>238</v>
      </c>
      <c r="G367" s="160" t="str">
        <f t="shared" si="9"/>
        <v/>
      </c>
    </row>
    <row r="368" spans="1:7">
      <c r="A368" s="160" t="s">
        <v>353</v>
      </c>
      <c r="B368" s="166" t="str">
        <f>'N1 Fitment'!T20</f>
        <v>Opt1</v>
      </c>
      <c r="C368" s="160" t="s">
        <v>238</v>
      </c>
      <c r="G368" s="160" t="str">
        <f t="shared" si="9"/>
        <v/>
      </c>
    </row>
    <row r="369" spans="1:8">
      <c r="A369" s="160" t="s">
        <v>679</v>
      </c>
      <c r="B369" s="166" t="str">
        <f>'N1 Fitment'!T21</f>
        <v>Opt1</v>
      </c>
      <c r="C369" s="160" t="s">
        <v>238</v>
      </c>
      <c r="G369" s="160" t="str">
        <f t="shared" si="9"/>
        <v/>
      </c>
    </row>
    <row r="370" spans="1:8">
      <c r="A370" s="160" t="s">
        <v>680</v>
      </c>
      <c r="B370" s="166" t="str">
        <f>'N1 Fitment'!T22</f>
        <v>Opt1</v>
      </c>
      <c r="C370" s="160" t="s">
        <v>238</v>
      </c>
      <c r="G370" s="160" t="str">
        <f t="shared" si="9"/>
        <v/>
      </c>
    </row>
    <row r="371" spans="1:8">
      <c r="A371" s="160" t="s">
        <v>354</v>
      </c>
      <c r="B371" s="166" t="str">
        <f>'N1 Fitment'!T23</f>
        <v>Opt1</v>
      </c>
      <c r="C371" s="160" t="s">
        <v>238</v>
      </c>
      <c r="G371" s="160" t="str">
        <f t="shared" si="9"/>
        <v/>
      </c>
    </row>
    <row r="372" spans="1:8">
      <c r="A372" s="160" t="s">
        <v>681</v>
      </c>
      <c r="B372" s="166" t="str">
        <f>'N1 Fitment'!T24</f>
        <v>Opt1</v>
      </c>
      <c r="C372" s="160" t="s">
        <v>238</v>
      </c>
      <c r="G372" s="160" t="str">
        <f t="shared" si="9"/>
        <v/>
      </c>
    </row>
    <row r="373" spans="1:8">
      <c r="A373" s="160" t="s">
        <v>356</v>
      </c>
      <c r="B373" s="166" t="str">
        <f>'N1 Fitment'!T25</f>
        <v>Opt1</v>
      </c>
      <c r="C373" s="160" t="s">
        <v>238</v>
      </c>
      <c r="G373" s="160" t="str">
        <f t="shared" si="9"/>
        <v/>
      </c>
    </row>
    <row r="374" spans="1:8">
      <c r="A374" s="160" t="s">
        <v>682</v>
      </c>
      <c r="B374" s="166" t="str">
        <f>'N1 Fitment'!T27</f>
        <v>Opt1</v>
      </c>
      <c r="C374" s="160" t="s">
        <v>238</v>
      </c>
      <c r="G374" s="160" t="str">
        <f t="shared" si="9"/>
        <v/>
      </c>
    </row>
    <row r="375" spans="1:8">
      <c r="A375" s="160" t="s">
        <v>683</v>
      </c>
      <c r="B375" s="166" t="str">
        <f>'N1 Fitment'!T28</f>
        <v>Opt1</v>
      </c>
      <c r="C375" s="160" t="s">
        <v>238</v>
      </c>
      <c r="G375" s="160" t="str">
        <f t="shared" si="9"/>
        <v/>
      </c>
    </row>
    <row r="376" spans="1:8">
      <c r="A376" s="160" t="s">
        <v>684</v>
      </c>
      <c r="B376" s="166" t="str">
        <f>'N1 Fitment'!T29</f>
        <v>Opt1</v>
      </c>
      <c r="C376" s="160" t="s">
        <v>238</v>
      </c>
      <c r="G376" s="160" t="str">
        <f t="shared" si="9"/>
        <v/>
      </c>
    </row>
    <row r="377" spans="1:8">
      <c r="A377" s="160" t="s">
        <v>685</v>
      </c>
      <c r="B377" s="166" t="str">
        <f>'N1 Fitment'!T30</f>
        <v>Opt1</v>
      </c>
      <c r="C377" s="160" t="s">
        <v>238</v>
      </c>
      <c r="G377" s="160" t="str">
        <f t="shared" si="9"/>
        <v/>
      </c>
    </row>
    <row r="378" spans="1:8">
      <c r="A378" s="160" t="s">
        <v>686</v>
      </c>
      <c r="B378" s="166" t="str">
        <f>'N1 Fitment'!T31</f>
        <v>Opt1</v>
      </c>
      <c r="C378" s="160" t="s">
        <v>238</v>
      </c>
      <c r="G378" s="160" t="str">
        <f t="shared" si="9"/>
        <v/>
      </c>
    </row>
    <row r="379" spans="1:8">
      <c r="A379" s="160" t="s">
        <v>355</v>
      </c>
      <c r="B379" s="166" t="str">
        <f>'N1 Fitment'!T32</f>
        <v>Opt1</v>
      </c>
      <c r="C379" s="160" t="s">
        <v>238</v>
      </c>
      <c r="G379" s="160" t="str">
        <f t="shared" si="9"/>
        <v/>
      </c>
    </row>
    <row r="380" spans="1:8">
      <c r="A380" s="160" t="s">
        <v>687</v>
      </c>
      <c r="B380" s="166" t="str">
        <f>'N1 Fitment'!T33</f>
        <v>Opt1</v>
      </c>
      <c r="C380" s="160" t="s">
        <v>238</v>
      </c>
      <c r="G380" s="160" t="str">
        <f t="shared" si="9"/>
        <v/>
      </c>
    </row>
    <row r="381" spans="1:8">
      <c r="A381" s="160" t="s">
        <v>688</v>
      </c>
      <c r="B381" s="166" t="str">
        <f>'N1 Fitment'!T34</f>
        <v>Opt1</v>
      </c>
      <c r="C381" s="160" t="s">
        <v>238</v>
      </c>
      <c r="G381" s="160" t="str">
        <f t="shared" si="9"/>
        <v/>
      </c>
    </row>
    <row r="382" spans="1:8">
      <c r="A382" s="381" t="s">
        <v>794</v>
      </c>
      <c r="B382" s="391" t="str" cm="1">
        <f t="array" ref="B382">IF(B16="N/A","Grey",Colour_ADAS('AEB Car-to-Car'!D33))</f>
        <v>Green</v>
      </c>
      <c r="G382" s="160" t="str">
        <f t="shared" si="9"/>
        <v/>
      </c>
    </row>
    <row r="383" spans="1:8">
      <c r="A383" s="381" t="s">
        <v>795</v>
      </c>
      <c r="B383" s="381" t="str" cm="1">
        <f t="array" ref="B383">IF(B16="N/A","Grey",Colour_ADAS('AEB Car-to-Car'!I33))</f>
        <v>Green</v>
      </c>
      <c r="G383" s="160" t="str">
        <f t="shared" si="9"/>
        <v/>
      </c>
      <c r="H383" s="393"/>
    </row>
    <row r="384" spans="1:8">
      <c r="A384" s="381" t="s">
        <v>796</v>
      </c>
      <c r="B384" s="381" t="str" cm="1">
        <f t="array" ref="B384">IF(B16="N/A","Grey",Colour_ADAS('AEB Car-to-Car'!D47))</f>
        <v>Yellow</v>
      </c>
      <c r="G384" s="160" t="str">
        <f t="shared" si="9"/>
        <v/>
      </c>
    </row>
    <row r="385" spans="1:7">
      <c r="A385" s="381" t="s">
        <v>797</v>
      </c>
      <c r="B385" s="381" t="str" cm="1">
        <f t="array" ref="B385">IF(B16="N/A","Grey",Colour_ADAS('AEB Car-to-Car'!I47))</f>
        <v>Green</v>
      </c>
      <c r="G385" s="160" t="str">
        <f t="shared" si="9"/>
        <v/>
      </c>
    </row>
    <row r="386" spans="1:7">
      <c r="A386" s="381" t="s">
        <v>798</v>
      </c>
      <c r="B386" s="381" t="str" cm="1">
        <f t="array" ref="B386">IF(B16="N/A","Grey",Colour_ADAS('AEB Car-to-Car'!D57))</f>
        <v>Green</v>
      </c>
      <c r="G386" s="160" t="str">
        <f t="shared" si="9"/>
        <v/>
      </c>
    </row>
    <row r="387" spans="1:7">
      <c r="A387" s="381" t="s">
        <v>799</v>
      </c>
      <c r="B387" s="381" t="str" cm="1">
        <f t="array" ref="B387">IF(B16="N/A","Grey",Colour_ADAS('AEB Car-to-Car'!I57))</f>
        <v>Green</v>
      </c>
      <c r="G387" s="160" t="str">
        <f t="shared" si="9"/>
        <v/>
      </c>
    </row>
    <row r="388" spans="1:7">
      <c r="A388" s="381" t="s">
        <v>800</v>
      </c>
      <c r="B388" s="381" t="str" cm="1">
        <f t="array" ref="B388">IF(B16="N/A","Grey",Colour_ADAS('AEB Car-to-Car'!D91))</f>
        <v>Red</v>
      </c>
      <c r="G388" s="160" t="str">
        <f t="shared" si="9"/>
        <v/>
      </c>
    </row>
    <row r="389" spans="1:7">
      <c r="A389" s="381" t="s">
        <v>801</v>
      </c>
      <c r="B389" s="161" t="str" cm="1">
        <f t="array" ref="B389">IF(B17="N/A","Grey",Colour_ADAS(AVERAGE('AEB Pedestrian'!D114,'AEB Pedestrian'!D115,'AEB Pedestrian'!D116)))</f>
        <v>Green</v>
      </c>
      <c r="G389" s="160" t="str">
        <f t="shared" si="9"/>
        <v/>
      </c>
    </row>
    <row r="390" spans="1:7">
      <c r="A390" s="381" t="s">
        <v>802</v>
      </c>
      <c r="B390" s="383" t="str" cm="1">
        <f t="array" ref="B390">IF(B17="N/A","Grey",Colour_ADAS(AVERAGE('AEB Pedestrian'!F115,'AEB Pedestrian'!F116)))</f>
        <v>Red</v>
      </c>
      <c r="G390" s="160" t="str">
        <f t="shared" ref="G390:G409" si="10">IF(OR(B390=0,B390=" ",B390=""),0,"")</f>
        <v/>
      </c>
    </row>
    <row r="391" spans="1:7">
      <c r="A391" s="381" t="s">
        <v>803</v>
      </c>
      <c r="B391" s="383" t="str" cm="1">
        <f t="array" ref="B391">IF(B17="N/A","Grey",Colour_ADAS(AVERAGE('AEB Pedestrian'!D118)))</f>
        <v>Green</v>
      </c>
      <c r="G391" s="160" t="str">
        <f t="shared" si="10"/>
        <v/>
      </c>
    </row>
    <row r="392" spans="1:7">
      <c r="A392" s="381" t="s">
        <v>804</v>
      </c>
      <c r="B392" s="383" t="str" cm="1">
        <f t="array" ref="B392">IF(B17="N/A","Grey",Colour_ADAS(AVERAGE('AEB Pedestrian'!F118)))</f>
        <v>Red</v>
      </c>
      <c r="G392" s="160" t="str">
        <f t="shared" si="10"/>
        <v/>
      </c>
    </row>
    <row r="393" spans="1:7">
      <c r="A393" s="381" t="s">
        <v>805</v>
      </c>
      <c r="B393" s="383" t="str" cm="1">
        <f t="array" ref="B393">IF(B17="N/A","Grey",Colour_ADAS(AVERAGE('AEB Pedestrian'!D117)))</f>
        <v>Green</v>
      </c>
      <c r="G393" s="160" t="str">
        <f t="shared" si="10"/>
        <v/>
      </c>
    </row>
    <row r="394" spans="1:7">
      <c r="A394" s="381" t="s">
        <v>806</v>
      </c>
      <c r="B394" s="383" t="str" cm="1">
        <f t="array" ref="B394">IF(B17="N/A","Grey",Colour_ADAS(AVERAGE('AEB Pedestrian'!D120)))</f>
        <v>Red</v>
      </c>
      <c r="G394" s="160" t="str">
        <f t="shared" si="10"/>
        <v/>
      </c>
    </row>
    <row r="395" spans="1:7">
      <c r="A395" s="381" t="s">
        <v>807</v>
      </c>
      <c r="B395" s="383" t="str" cm="1">
        <f t="array" ref="B395">IF(B17="N/A","Grey",Colour_ADAS(AVERAGE('AEB Pedestrian'!D119)))</f>
        <v>Red</v>
      </c>
      <c r="G395" s="160" t="str">
        <f t="shared" si="10"/>
        <v/>
      </c>
    </row>
    <row r="396" spans="1:7">
      <c r="A396" s="381" t="s">
        <v>808</v>
      </c>
      <c r="B396" s="383" t="str" cm="1">
        <f t="array" ref="B396">IF(B18="N/A","Grey",Colour_ADAS(AVERAGE('AEB Cyclist'!D81,'AEB Cyclist'!D82)))</f>
        <v>Yellow</v>
      </c>
      <c r="G396" s="160" t="str">
        <f t="shared" si="10"/>
        <v/>
      </c>
    </row>
    <row r="397" spans="1:7">
      <c r="A397" s="381" t="s">
        <v>809</v>
      </c>
      <c r="B397" s="383" t="str" cm="1">
        <f t="array" ref="B397">IF(B18="N/A","Grey",Colour_ADAS(AVERAGE('AEB Cyclist'!D84)))</f>
        <v>Green</v>
      </c>
      <c r="G397" s="160" t="str">
        <f t="shared" si="10"/>
        <v/>
      </c>
    </row>
    <row r="398" spans="1:7">
      <c r="A398" s="381" t="s">
        <v>810</v>
      </c>
      <c r="B398" s="383" t="str" cm="1">
        <f t="array" ref="B398">IF(B18="N/A","Grey",Colour_ADAS(AVERAGE('AEB Cyclist'!D83)))</f>
        <v>Red</v>
      </c>
      <c r="G398" s="160" t="str">
        <f t="shared" si="10"/>
        <v/>
      </c>
    </row>
    <row r="399" spans="1:7">
      <c r="A399" s="160" t="s">
        <v>811</v>
      </c>
      <c r="B399" s="163" t="str">
        <f>'N1 Fitment'!N26</f>
        <v>Opt1</v>
      </c>
      <c r="G399" s="160" t="str">
        <f t="shared" si="10"/>
        <v/>
      </c>
    </row>
    <row r="400" spans="1:7">
      <c r="A400" s="160" t="s">
        <v>812</v>
      </c>
      <c r="B400" s="163" t="str">
        <f>'N1 Fitment'!O26</f>
        <v>Opt1</v>
      </c>
      <c r="G400" s="160" t="str">
        <f t="shared" si="10"/>
        <v/>
      </c>
    </row>
    <row r="401" spans="1:7">
      <c r="A401" s="160" t="s">
        <v>813</v>
      </c>
      <c r="B401" s="167" t="str">
        <f>'N1 Fitment'!P$26</f>
        <v>Opt1</v>
      </c>
      <c r="G401" s="160" t="str">
        <f t="shared" si="10"/>
        <v/>
      </c>
    </row>
    <row r="402" spans="1:7">
      <c r="A402" s="160" t="s">
        <v>814</v>
      </c>
      <c r="B402" s="167" t="str">
        <f>'N1 Fitment'!Q26</f>
        <v>Opt1</v>
      </c>
      <c r="G402" s="160" t="str">
        <f t="shared" si="10"/>
        <v/>
      </c>
    </row>
    <row r="403" spans="1:7">
      <c r="A403" s="160" t="s">
        <v>815</v>
      </c>
      <c r="B403" s="167" t="str">
        <f>'N1 Fitment'!R26</f>
        <v>Opt1</v>
      </c>
      <c r="G403" s="160" t="str">
        <f t="shared" si="10"/>
        <v/>
      </c>
    </row>
    <row r="404" spans="1:7">
      <c r="A404" s="160" t="s">
        <v>816</v>
      </c>
      <c r="B404" s="167" t="str">
        <f>'N1 Fitment'!S26</f>
        <v>Opt1</v>
      </c>
      <c r="G404" s="160" t="str">
        <f t="shared" si="10"/>
        <v/>
      </c>
    </row>
    <row r="405" spans="1:7">
      <c r="A405" s="160" t="s">
        <v>817</v>
      </c>
      <c r="B405" s="167" t="str">
        <f>'N1 Fitment'!Z26</f>
        <v>Opt1</v>
      </c>
      <c r="G405" s="160" t="str">
        <f t="shared" si="10"/>
        <v/>
      </c>
    </row>
    <row r="406" spans="1:7">
      <c r="A406" s="160" t="s">
        <v>818</v>
      </c>
      <c r="B406" s="167" t="str">
        <f>'N1 Fitment'!Y26</f>
        <v>Opt1</v>
      </c>
      <c r="G406" s="160" t="str">
        <f t="shared" si="10"/>
        <v/>
      </c>
    </row>
    <row r="407" spans="1:7">
      <c r="A407" s="160" t="s">
        <v>819</v>
      </c>
      <c r="B407" s="167" t="str">
        <f>'N1 Fitment'!V26</f>
        <v>Std</v>
      </c>
      <c r="G407" s="160" t="str">
        <f t="shared" si="10"/>
        <v/>
      </c>
    </row>
    <row r="408" spans="1:7">
      <c r="A408" s="160" t="s">
        <v>820</v>
      </c>
      <c r="B408" s="167" t="str">
        <f>'N1 Fitment'!X26</f>
        <v>Std</v>
      </c>
      <c r="G408" s="160" t="str">
        <f t="shared" si="10"/>
        <v/>
      </c>
    </row>
    <row r="409" spans="1:7">
      <c r="A409" s="381" t="s">
        <v>821</v>
      </c>
      <c r="B409" s="167" t="str">
        <f>'N1 Fitment'!T26</f>
        <v>Opt1</v>
      </c>
      <c r="G409" s="160"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2.xml><?xml version="1.0" encoding="utf-8"?>
<ds:datastoreItem xmlns:ds="http://schemas.openxmlformats.org/officeDocument/2006/customXml" ds:itemID="{247919C7-0F7E-41A2-835C-C50CBB97B7A8}">
  <ds:schemaRefs>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schemas.microsoft.com/office/2006/metadata/properties"/>
    <ds:schemaRef ds:uri="12ccb9ee-a914-4374-a909-1fd46cbe79f0"/>
    <ds:schemaRef ds:uri="http://schemas.microsoft.com/office/infopath/2007/PartnerControls"/>
    <ds:schemaRef ds:uri="ee778dc3-f09c-458e-8857-afcef2d34b10"/>
    <ds:schemaRef ds:uri="983cc5cc-6a09-4809-b610-b60c918f8bb9"/>
    <ds:schemaRef ds:uri="http://www.w3.org/XML/1998/namespace"/>
  </ds:schemaRefs>
</ds:datastoreItem>
</file>

<file path=customXml/itemProps3.xml><?xml version="1.0" encoding="utf-8"?>
<ds:datastoreItem xmlns:ds="http://schemas.openxmlformats.org/officeDocument/2006/customXml" ds:itemID="{80390B14-87F3-4223-B9BB-EE60FB4F1FA3}"/>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42</vt:i4>
      </vt:variant>
    </vt:vector>
  </HeadingPairs>
  <TitlesOfParts>
    <vt:vector size="54"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23-FIA-V031-FIAT Ducato</dc:title>
  <dc:creator>Euro NCAP</dc:creator>
  <cp:lastModifiedBy>Sofie Verheyen</cp:lastModifiedBy>
  <cp:lastPrinted>2015-10-01T12:44:07Z</cp:lastPrinted>
  <dcterms:created xsi:type="dcterms:W3CDTF">2000-07-21T08:56:37Z</dcterms:created>
  <dcterms:modified xsi:type="dcterms:W3CDTF">2023-02-21T14:35:00Z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