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SingleCells1.xml" ContentType="application/vnd.openxmlformats-officedocument.spreadsheetml.tableSingleCell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026" codeName="{AE6600E7-7A62-396C-DE95-9942FA9DD81E}"/>
  <workbookPr codeName="ThisWorkbook"/>
  <mc:AlternateContent xmlns:mc="http://schemas.openxmlformats.org/markup-compatibility/2006">
    <mc:Choice Requires="x15">
      <x15ac:absPath xmlns:x15ac="http://schemas.microsoft.com/office/spreadsheetml/2010/11/ac" url="https://euroncap.sharepoint.com/communication/releases/Shared Documents/2023/2303 Vans/Datasheets &amp; spreadsheets/"/>
    </mc:Choice>
  </mc:AlternateContent>
  <xr:revisionPtr revIDLastSave="2" documentId="13_ncr:1_{0E3542A7-AB95-42FB-BD89-62D795B0608B}" xr6:coauthVersionLast="47" xr6:coauthVersionMax="47" xr10:uidLastSave="{39955B62-B85C-4CDA-869A-1E948B50570F}"/>
  <bookViews>
    <workbookView xWindow="-120" yWindow="-120" windowWidth="29040" windowHeight="15840" tabRatio="857" activeTab="3" xr2:uid="{00000000-000D-0000-FFFF-FFFF00000000}"/>
  </bookViews>
  <sheets>
    <sheet name="General Overview" sheetId="73" r:id="rId1"/>
    <sheet name="OVERALL RATING" sheetId="97" r:id="rId2"/>
    <sheet name="FITMENT" sheetId="96" state="hidden" r:id="rId3"/>
    <sheet name="N1 Fitment" sheetId="99" r:id="rId4"/>
    <sheet name="AEB Pedestrian" sheetId="101" r:id="rId5"/>
    <sheet name="AEB Cyclist" sheetId="94" r:id="rId6"/>
    <sheet name="AEB Car-to-Car" sheetId="95" r:id="rId7"/>
    <sheet name="LSS" sheetId="100" r:id="rId8"/>
    <sheet name="SAS 2023" sheetId="102" state="hidden" r:id="rId9"/>
    <sheet name="SAS 2020" sheetId="68" r:id="rId10"/>
    <sheet name="OSM" sheetId="67" r:id="rId11"/>
    <sheet name="Summary" sheetId="98" r:id="rId12"/>
  </sheets>
  <functionGroups builtInGroupCount="19"/>
  <externalReferences>
    <externalReference r:id="rId13"/>
  </externalReferences>
  <definedNames>
    <definedName name="AT">'N1 Fitment'!$C$6</definedName>
    <definedName name="BE">'N1 Fitment'!$C$7</definedName>
    <definedName name="BG">'N1 Fitment'!$C$8</definedName>
    <definedName name="CCRm_AEB_GOR">'AEB Car-to-Car'!$D$38:$H$39</definedName>
    <definedName name="CCRm_AEB_GR">'AEB Car-to-Car'!$D$36:$H$37</definedName>
    <definedName name="CCRm_AEB_GYOBR">'AEB Car-to-Car'!$D$42:$H$46</definedName>
    <definedName name="CCRm_AEB_GYOR">'AEB Car-to-Car'!$D$40:$H$41</definedName>
    <definedName name="CCRm_FCW_GYOBR">'AEB Car-to-Car'!$I$42:$M$46</definedName>
    <definedName name="CCRm_FCW_GYOR">'AEB Car-to-Car'!$I$40:$M$41</definedName>
    <definedName name="CCRs_AEB_GOR">'AEB Car-to-Car'!$D$21:$H$21</definedName>
    <definedName name="CCRs_AEB_GR">'AEB Car-to-Car'!$D$18:$H$20</definedName>
    <definedName name="CCRs_AEB_GYOBR">'AEB Car-to-Car'!$D$24:$H$26</definedName>
    <definedName name="CCRs_AEB_GYOR">'AEB Car-to-Car'!$D$22:$H$23</definedName>
    <definedName name="CCRs_FCW_GYOBR">'AEB Car-to-Car'!$I$24:$M$32</definedName>
    <definedName name="CCRs_FCW_GYOR">'AEB Car-to-Car'!$I$22:$M$23</definedName>
    <definedName name="CY">'N1 Fitment'!$C$10</definedName>
    <definedName name="CZ">'N1 Fitment'!$C$11</definedName>
    <definedName name="DE">'N1 Fitment'!$C$16</definedName>
    <definedName name="DK">'N1 Fitment'!$C$12</definedName>
    <definedName name="EE">'N1 Fitment'!$C$13</definedName>
    <definedName name="ES">'N1 Fitment'!$C$32</definedName>
    <definedName name="FI">'N1 Fitment'!$C$14</definedName>
    <definedName name="FR">'N1 Fitment'!$C$15</definedName>
    <definedName name="GB">'N1 Fitment'!$C$34</definedName>
    <definedName name="GR">'N1 Fitment'!$C$17</definedName>
    <definedName name="HR">'N1 Fitment'!$C$9</definedName>
    <definedName name="HU">'N1 Fitment'!$C$18</definedName>
    <definedName name="ID_AEB_City" localSheetId="11">#REF!,#REF!,#REF!,#REF!</definedName>
    <definedName name="ID_AOP_Frontal_FW_1" localSheetId="11">#REF!,#REF!,#REF!,#REF!,#REF!,#REF!,#REF!,#REF!,#REF!,#REF!,#REF!,#REF!,#REF!,#REF!,#REF!,#REF!,#REF!,#REF!,#REF!,#REF!,#REF!,#REF!,#REF!,#REF!</definedName>
    <definedName name="ID_General_Overview" localSheetId="11">'[1]General Overview'!$C$3:$E$23,'[1]General Overview'!$G$3:$G$18,'[1]General Overview'!#REF!,'[1]General Overview'!#REF!,'[1]General Overview'!#REF!,'[1]General Overview'!#REF!,'[1]General Overview'!#REF!,'[1]General Overview'!#REF!,'[1]General Overview'!#REF!,'[1]General Overview'!#REF!,'[1]General Overview'!#REF!</definedName>
    <definedName name="ID_PP_Headform" localSheetId="11">#REF!,#REF!,#REF!,#REF!,#REF!</definedName>
    <definedName name="ID_PP_Lower_Legform" localSheetId="11">#REF!,#REF!,#REF!,#REF!</definedName>
    <definedName name="ID_SA_SAS" localSheetId="11">[1]SAS!$D$6:$E$6,[1]SAS!$D$10:$E$10,[1]SAS!#REF!,[1]SAS!#REF!,[1]SAS!#REF!,[1]SAS!#REF!,[1]SAS!#REF!,[1]SAS!$D$31:$E$31,[1]SAS!$D$34:$D$35,[1]SAS!$D$37:$D$38,[1]SAS!$D$40:$D$41</definedName>
    <definedName name="ID_SA_SBR" localSheetId="11">[1]OSM!$D$7:$G$8,[1]OSM!#REF!,[1]OSM!#REF!</definedName>
    <definedName name="IE">'N1 Fitment'!$C$19</definedName>
    <definedName name="IT">'N1 Fitment'!$C$20</definedName>
    <definedName name="LT">'N1 Fitment'!$C$22</definedName>
    <definedName name="LU">'N1 Fitment'!$C$23</definedName>
    <definedName name="LV">'N1 Fitment'!$C$21</definedName>
    <definedName name="MT">'N1 Fitment'!$C$24</definedName>
    <definedName name="NL">'N1 Fitment'!$C$25</definedName>
    <definedName name="PL">'N1 Fitment'!$C$27</definedName>
    <definedName name="PT">'N1 Fitment'!$C$28</definedName>
    <definedName name="RO">'N1 Fitment'!$C$29</definedName>
    <definedName name="Round" localSheetId="11">'[1]General Overview'!$A$2</definedName>
    <definedName name="Round">'General Overview'!$A$2</definedName>
    <definedName name="SE">'N1 Fitment'!$C$33</definedName>
    <definedName name="SI">'N1 Fitment'!$C$31</definedName>
    <definedName name="SK">'N1 Fitment'!$C$30</definedName>
    <definedName name="UK">'N1 Fitment'!$C$34</definedName>
  </definedNames>
  <calcPr calcId="191029" forceFullCalc="1"/>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409" i="98" l="1"/>
  <c r="B408" i="98"/>
  <c r="B407" i="98"/>
  <c r="B406" i="98"/>
  <c r="B405" i="98"/>
  <c r="B404" i="98"/>
  <c r="B403" i="98"/>
  <c r="B402" i="98"/>
  <c r="B401" i="98"/>
  <c r="B400" i="98"/>
  <c r="G400" i="98" s="1"/>
  <c r="B399" i="98"/>
  <c r="G399" i="98" s="1"/>
  <c r="B381" i="98"/>
  <c r="G381" i="98" s="1"/>
  <c r="B380" i="98"/>
  <c r="G380" i="98" s="1"/>
  <c r="B379" i="98"/>
  <c r="G379" i="98" s="1"/>
  <c r="B378" i="98"/>
  <c r="G378" i="98" s="1"/>
  <c r="B377" i="98"/>
  <c r="G377" i="98" s="1"/>
  <c r="B376" i="98"/>
  <c r="B375" i="98"/>
  <c r="B374" i="98"/>
  <c r="B373" i="98"/>
  <c r="G373" i="98" s="1"/>
  <c r="B372" i="98"/>
  <c r="B371" i="98"/>
  <c r="G371" i="98" s="1"/>
  <c r="B370" i="98"/>
  <c r="G370" i="98" s="1"/>
  <c r="B369" i="98"/>
  <c r="G369" i="98" s="1"/>
  <c r="B368" i="98"/>
  <c r="G368" i="98" s="1"/>
  <c r="B367" i="98"/>
  <c r="G367" i="98" s="1"/>
  <c r="B366" i="98"/>
  <c r="G366" i="98" s="1"/>
  <c r="B365" i="98"/>
  <c r="G365" i="98" s="1"/>
  <c r="B364" i="98"/>
  <c r="G364" i="98" s="1"/>
  <c r="B363" i="98"/>
  <c r="G363" i="98" s="1"/>
  <c r="B362" i="98"/>
  <c r="G362" i="98" s="1"/>
  <c r="B361" i="98"/>
  <c r="G361" i="98" s="1"/>
  <c r="B360" i="98"/>
  <c r="B359" i="98"/>
  <c r="B358" i="98"/>
  <c r="B357" i="98"/>
  <c r="G357" i="98" s="1"/>
  <c r="B356" i="98"/>
  <c r="G356" i="98" s="1"/>
  <c r="B355" i="98"/>
  <c r="G355" i="98" s="1"/>
  <c r="B354" i="98"/>
  <c r="G354" i="98" s="1"/>
  <c r="B353" i="98"/>
  <c r="G353" i="98" s="1"/>
  <c r="B352" i="98"/>
  <c r="G352" i="98" s="1"/>
  <c r="B351" i="98"/>
  <c r="G351" i="98" s="1"/>
  <c r="B350" i="98"/>
  <c r="G350" i="98" s="1"/>
  <c r="B349" i="98"/>
  <c r="G349" i="98" s="1"/>
  <c r="B348" i="98"/>
  <c r="G348" i="98" s="1"/>
  <c r="B347" i="98"/>
  <c r="G347" i="98" s="1"/>
  <c r="B346" i="98"/>
  <c r="G346" i="98" s="1"/>
  <c r="B345" i="98"/>
  <c r="G345" i="98" s="1"/>
  <c r="B344" i="98"/>
  <c r="B343" i="98"/>
  <c r="B342" i="98"/>
  <c r="B341" i="98"/>
  <c r="G341" i="98" s="1"/>
  <c r="B340" i="98"/>
  <c r="B339" i="98"/>
  <c r="G339" i="98" s="1"/>
  <c r="B338" i="98"/>
  <c r="G338" i="98" s="1"/>
  <c r="B337" i="98"/>
  <c r="G337" i="98" s="1"/>
  <c r="B336" i="98"/>
  <c r="G336" i="98" s="1"/>
  <c r="B335" i="98"/>
  <c r="G335" i="98" s="1"/>
  <c r="B334" i="98"/>
  <c r="G334" i="98" s="1"/>
  <c r="B333" i="98"/>
  <c r="G333" i="98" s="1"/>
  <c r="B332" i="98"/>
  <c r="G332" i="98" s="1"/>
  <c r="B331" i="98"/>
  <c r="G331" i="98" s="1"/>
  <c r="B330" i="98"/>
  <c r="G330" i="98" s="1"/>
  <c r="B329" i="98"/>
  <c r="G329" i="98" s="1"/>
  <c r="B328" i="98"/>
  <c r="B327" i="98"/>
  <c r="B326" i="98"/>
  <c r="B325" i="98"/>
  <c r="G325" i="98" s="1"/>
  <c r="B324" i="98"/>
  <c r="G324" i="98" s="1"/>
  <c r="B323" i="98"/>
  <c r="G323" i="98" s="1"/>
  <c r="B322" i="98"/>
  <c r="B321" i="98"/>
  <c r="G321" i="98" s="1"/>
  <c r="B320" i="98"/>
  <c r="G320" i="98" s="1"/>
  <c r="B319" i="98"/>
  <c r="G319" i="98" s="1"/>
  <c r="B318" i="98"/>
  <c r="G318" i="98" s="1"/>
  <c r="B317" i="98"/>
  <c r="G317" i="98" s="1"/>
  <c r="B316" i="98"/>
  <c r="G316" i="98" s="1"/>
  <c r="B315" i="98"/>
  <c r="G315" i="98" s="1"/>
  <c r="B314" i="98"/>
  <c r="G314" i="98" s="1"/>
  <c r="B313" i="98"/>
  <c r="G313" i="98" s="1"/>
  <c r="B312" i="98"/>
  <c r="B311" i="98"/>
  <c r="B310" i="98"/>
  <c r="B309" i="98"/>
  <c r="G309" i="98" s="1"/>
  <c r="B308" i="98"/>
  <c r="B307" i="98"/>
  <c r="G307" i="98" s="1"/>
  <c r="B306" i="98"/>
  <c r="G306" i="98" s="1"/>
  <c r="B305" i="98"/>
  <c r="G305" i="98" s="1"/>
  <c r="B304" i="98"/>
  <c r="G304" i="98" s="1"/>
  <c r="B303" i="98"/>
  <c r="G303" i="98" s="1"/>
  <c r="B302" i="98"/>
  <c r="G302" i="98" s="1"/>
  <c r="B301" i="98"/>
  <c r="G301" i="98" s="1"/>
  <c r="B300" i="98"/>
  <c r="G300" i="98" s="1"/>
  <c r="B299" i="98"/>
  <c r="G299" i="98" s="1"/>
  <c r="B298" i="98"/>
  <c r="G298" i="98" s="1"/>
  <c r="B297" i="98"/>
  <c r="G297" i="98" s="1"/>
  <c r="B296" i="98"/>
  <c r="B295" i="98"/>
  <c r="B294" i="98"/>
  <c r="B293" i="98"/>
  <c r="G293" i="98" s="1"/>
  <c r="B292" i="98"/>
  <c r="B291" i="98"/>
  <c r="G291" i="98" s="1"/>
  <c r="B290" i="98"/>
  <c r="G290" i="98" s="1"/>
  <c r="B289" i="98"/>
  <c r="G289" i="98" s="1"/>
  <c r="B288" i="98"/>
  <c r="G288" i="98" s="1"/>
  <c r="B287" i="98"/>
  <c r="G287" i="98" s="1"/>
  <c r="B286" i="98"/>
  <c r="G286" i="98" s="1"/>
  <c r="B285" i="98"/>
  <c r="G285" i="98" s="1"/>
  <c r="B284" i="98"/>
  <c r="G284" i="98" s="1"/>
  <c r="B283" i="98"/>
  <c r="G283" i="98" s="1"/>
  <c r="B282" i="98"/>
  <c r="G282" i="98" s="1"/>
  <c r="B281" i="98"/>
  <c r="G281" i="98" s="1"/>
  <c r="B280" i="98"/>
  <c r="B279" i="98"/>
  <c r="B278" i="98"/>
  <c r="B277" i="98"/>
  <c r="G277" i="98" s="1"/>
  <c r="B276" i="98"/>
  <c r="B275" i="98"/>
  <c r="G275" i="98" s="1"/>
  <c r="B274" i="98"/>
  <c r="G274" i="98" s="1"/>
  <c r="B273" i="98"/>
  <c r="G273" i="98" s="1"/>
  <c r="B272" i="98"/>
  <c r="G272" i="98" s="1"/>
  <c r="B271" i="98"/>
  <c r="G271" i="98" s="1"/>
  <c r="B270" i="98"/>
  <c r="G270" i="98" s="1"/>
  <c r="B269" i="98"/>
  <c r="G269" i="98" s="1"/>
  <c r="B268" i="98"/>
  <c r="G268" i="98" s="1"/>
  <c r="B267" i="98"/>
  <c r="G267" i="98" s="1"/>
  <c r="B266" i="98"/>
  <c r="G266" i="98" s="1"/>
  <c r="B265" i="98"/>
  <c r="G265" i="98" s="1"/>
  <c r="B264" i="98"/>
  <c r="B263" i="98"/>
  <c r="B262" i="98"/>
  <c r="B261" i="98"/>
  <c r="G261" i="98" s="1"/>
  <c r="B260" i="98"/>
  <c r="B259" i="98"/>
  <c r="G259" i="98" s="1"/>
  <c r="B258" i="98"/>
  <c r="B257" i="98"/>
  <c r="G257" i="98" s="1"/>
  <c r="B256" i="98"/>
  <c r="B255" i="98"/>
  <c r="B254" i="98"/>
  <c r="B253" i="98"/>
  <c r="G253" i="98" s="1"/>
  <c r="B252" i="98"/>
  <c r="G252" i="98" s="1"/>
  <c r="B251" i="98"/>
  <c r="G251" i="98" s="1"/>
  <c r="B250" i="98"/>
  <c r="G250" i="98" s="1"/>
  <c r="B249" i="98"/>
  <c r="G249" i="98" s="1"/>
  <c r="B248" i="98"/>
  <c r="B247" i="98"/>
  <c r="B246" i="98"/>
  <c r="B245" i="98"/>
  <c r="G245" i="98" s="1"/>
  <c r="B244" i="98"/>
  <c r="G244" i="98" s="1"/>
  <c r="B243" i="98"/>
  <c r="G243" i="98" s="1"/>
  <c r="B242" i="98"/>
  <c r="G242" i="98" s="1"/>
  <c r="B241" i="98"/>
  <c r="G241" i="98" s="1"/>
  <c r="B240" i="98"/>
  <c r="G240" i="98" s="1"/>
  <c r="B239" i="98"/>
  <c r="G239" i="98" s="1"/>
  <c r="B238" i="98"/>
  <c r="G238" i="98" s="1"/>
  <c r="B237" i="98"/>
  <c r="G237" i="98" s="1"/>
  <c r="B236" i="98"/>
  <c r="G236" i="98" s="1"/>
  <c r="B235" i="98"/>
  <c r="G235" i="98" s="1"/>
  <c r="B234" i="98"/>
  <c r="G234" i="98" s="1"/>
  <c r="B233" i="98"/>
  <c r="G233" i="98" s="1"/>
  <c r="B232" i="98"/>
  <c r="B231" i="98"/>
  <c r="B230" i="98"/>
  <c r="B229" i="98"/>
  <c r="G229" i="98" s="1"/>
  <c r="B228" i="98"/>
  <c r="B227" i="98"/>
  <c r="G227" i="98" s="1"/>
  <c r="B226" i="98"/>
  <c r="G226" i="98" s="1"/>
  <c r="B225" i="98"/>
  <c r="G225" i="98" s="1"/>
  <c r="B224" i="98"/>
  <c r="G224" i="98" s="1"/>
  <c r="B223" i="98"/>
  <c r="G223" i="98" s="1"/>
  <c r="B222" i="98"/>
  <c r="G222" i="98" s="1"/>
  <c r="B221" i="98"/>
  <c r="G221" i="98" s="1"/>
  <c r="B220" i="98"/>
  <c r="G220" i="98" s="1"/>
  <c r="B219" i="98"/>
  <c r="G219" i="98" s="1"/>
  <c r="B218" i="98"/>
  <c r="G218" i="98" s="1"/>
  <c r="B217" i="98"/>
  <c r="G217" i="98" s="1"/>
  <c r="B216" i="98"/>
  <c r="B215" i="98"/>
  <c r="B214" i="98"/>
  <c r="B213" i="98"/>
  <c r="G213" i="98" s="1"/>
  <c r="B212" i="98"/>
  <c r="B211" i="98"/>
  <c r="G211" i="98" s="1"/>
  <c r="B210" i="98"/>
  <c r="G210" i="98" s="1"/>
  <c r="B209" i="98"/>
  <c r="G209" i="98" s="1"/>
  <c r="B208" i="98"/>
  <c r="G208" i="98" s="1"/>
  <c r="B207" i="98"/>
  <c r="G207" i="98" s="1"/>
  <c r="B206" i="98"/>
  <c r="G206" i="98" s="1"/>
  <c r="B205" i="98"/>
  <c r="G205" i="98" s="1"/>
  <c r="B204" i="98"/>
  <c r="G204" i="98" s="1"/>
  <c r="B203" i="98"/>
  <c r="G203" i="98" s="1"/>
  <c r="B202" i="98"/>
  <c r="G202" i="98" s="1"/>
  <c r="B201" i="98"/>
  <c r="G201" i="98" s="1"/>
  <c r="B200" i="98"/>
  <c r="B199" i="98"/>
  <c r="B198" i="98"/>
  <c r="B197" i="98"/>
  <c r="G197" i="98" s="1"/>
  <c r="B196" i="98"/>
  <c r="G196" i="98" s="1"/>
  <c r="B195" i="98"/>
  <c r="G195" i="98" s="1"/>
  <c r="B194" i="98"/>
  <c r="G194" i="98" s="1"/>
  <c r="B193" i="98"/>
  <c r="G193" i="98" s="1"/>
  <c r="B192" i="98"/>
  <c r="G192" i="98" s="1"/>
  <c r="B191" i="98"/>
  <c r="G191" i="98" s="1"/>
  <c r="B190" i="98"/>
  <c r="G190" i="98" s="1"/>
  <c r="B189" i="98"/>
  <c r="G189" i="98" s="1"/>
  <c r="B188" i="98"/>
  <c r="G188" i="98" s="1"/>
  <c r="B187" i="98"/>
  <c r="G187" i="98" s="1"/>
  <c r="B186" i="98"/>
  <c r="G186" i="98" s="1"/>
  <c r="B185" i="98"/>
  <c r="G185" i="98" s="1"/>
  <c r="B184" i="98"/>
  <c r="B183" i="98"/>
  <c r="G183" i="98" s="1"/>
  <c r="B182" i="98"/>
  <c r="B181" i="98"/>
  <c r="G181" i="98" s="1"/>
  <c r="B180" i="98"/>
  <c r="B179" i="98"/>
  <c r="G179" i="98" s="1"/>
  <c r="B178" i="98"/>
  <c r="G178" i="98" s="1"/>
  <c r="B177" i="98"/>
  <c r="G177" i="98" s="1"/>
  <c r="B176" i="98"/>
  <c r="G176" i="98" s="1"/>
  <c r="B175" i="98"/>
  <c r="G175" i="98" s="1"/>
  <c r="B174" i="98"/>
  <c r="G174" i="98" s="1"/>
  <c r="B173" i="98"/>
  <c r="G173" i="98" s="1"/>
  <c r="B172" i="98"/>
  <c r="G172" i="98" s="1"/>
  <c r="B171" i="98"/>
  <c r="G171" i="98" s="1"/>
  <c r="B170" i="98"/>
  <c r="G170" i="98" s="1"/>
  <c r="B169" i="98"/>
  <c r="G169" i="98" s="1"/>
  <c r="B168" i="98"/>
  <c r="B167" i="98"/>
  <c r="G167" i="98" s="1"/>
  <c r="B166" i="98"/>
  <c r="B165" i="98"/>
  <c r="G165" i="98" s="1"/>
  <c r="B164" i="98"/>
  <c r="G164" i="98" s="1"/>
  <c r="B163" i="98"/>
  <c r="G163" i="98" s="1"/>
  <c r="B162" i="98"/>
  <c r="G162" i="98" s="1"/>
  <c r="B161" i="98"/>
  <c r="G161" i="98" s="1"/>
  <c r="B160" i="98"/>
  <c r="G160" i="98" s="1"/>
  <c r="B159" i="98"/>
  <c r="G159" i="98" s="1"/>
  <c r="B158" i="98"/>
  <c r="G158" i="98" s="1"/>
  <c r="B157" i="98"/>
  <c r="G157" i="98" s="1"/>
  <c r="B156" i="98"/>
  <c r="G156" i="98" s="1"/>
  <c r="B155" i="98"/>
  <c r="G155" i="98" s="1"/>
  <c r="B154" i="98"/>
  <c r="G154" i="98" s="1"/>
  <c r="B153" i="98"/>
  <c r="G153" i="98" s="1"/>
  <c r="B152" i="98"/>
  <c r="B151" i="98"/>
  <c r="B150" i="98"/>
  <c r="B149" i="98"/>
  <c r="G149" i="98" s="1"/>
  <c r="B148" i="98"/>
  <c r="G148" i="98" s="1"/>
  <c r="B147" i="98"/>
  <c r="G147" i="98" s="1"/>
  <c r="B146" i="98"/>
  <c r="G146" i="98" s="1"/>
  <c r="B145" i="98"/>
  <c r="G145" i="98" s="1"/>
  <c r="B144" i="98"/>
  <c r="G144" i="98" s="1"/>
  <c r="B143" i="98"/>
  <c r="G143" i="98" s="1"/>
  <c r="B142" i="98"/>
  <c r="G142" i="98" s="1"/>
  <c r="B141" i="98"/>
  <c r="G141" i="98" s="1"/>
  <c r="B140" i="98"/>
  <c r="G140" i="98" s="1"/>
  <c r="B139" i="98"/>
  <c r="G139" i="98" s="1"/>
  <c r="B138" i="98"/>
  <c r="G138" i="98" s="1"/>
  <c r="B137" i="98"/>
  <c r="G137" i="98" s="1"/>
  <c r="B136" i="98"/>
  <c r="B135" i="98"/>
  <c r="B134" i="98"/>
  <c r="B133" i="98"/>
  <c r="G133" i="98" s="1"/>
  <c r="B132" i="98"/>
  <c r="B131" i="98"/>
  <c r="G131" i="98" s="1"/>
  <c r="B130" i="98"/>
  <c r="G130" i="98" s="1"/>
  <c r="B129" i="98"/>
  <c r="G129" i="98" s="1"/>
  <c r="B128" i="98"/>
  <c r="G128" i="98" s="1"/>
  <c r="B127" i="98"/>
  <c r="G127" i="98" s="1"/>
  <c r="B126" i="98"/>
  <c r="G126" i="98" s="1"/>
  <c r="B125" i="98"/>
  <c r="G125" i="98" s="1"/>
  <c r="B124" i="98"/>
  <c r="G124" i="98" s="1"/>
  <c r="B123" i="98"/>
  <c r="G123" i="98" s="1"/>
  <c r="B122" i="98"/>
  <c r="G122" i="98" s="1"/>
  <c r="B121" i="98"/>
  <c r="G121" i="98" s="1"/>
  <c r="B120" i="98"/>
  <c r="B119" i="98"/>
  <c r="G119" i="98" s="1"/>
  <c r="B118" i="98"/>
  <c r="B117" i="98"/>
  <c r="G117" i="98" s="1"/>
  <c r="B116" i="98"/>
  <c r="B115" i="98"/>
  <c r="G115" i="98" s="1"/>
  <c r="B114" i="98"/>
  <c r="G114" i="98" s="1"/>
  <c r="B113" i="98"/>
  <c r="G113" i="98" s="1"/>
  <c r="B112" i="98"/>
  <c r="G112" i="98" s="1"/>
  <c r="B111" i="98"/>
  <c r="G111" i="98" s="1"/>
  <c r="B110" i="98"/>
  <c r="G110" i="98" s="1"/>
  <c r="B109" i="98"/>
  <c r="G109" i="98" s="1"/>
  <c r="B108" i="98"/>
  <c r="G108" i="98" s="1"/>
  <c r="B107" i="98"/>
  <c r="G107" i="98" s="1"/>
  <c r="B106" i="98"/>
  <c r="G106" i="98" s="1"/>
  <c r="B105" i="98"/>
  <c r="G105" i="98" s="1"/>
  <c r="B104" i="98"/>
  <c r="B103" i="98"/>
  <c r="G103" i="98" s="1"/>
  <c r="B102" i="98"/>
  <c r="B101" i="98"/>
  <c r="G101" i="98" s="1"/>
  <c r="B100" i="98"/>
  <c r="G100" i="98" s="1"/>
  <c r="B99" i="98"/>
  <c r="G99" i="98" s="1"/>
  <c r="B98" i="98"/>
  <c r="G98" i="98" s="1"/>
  <c r="B97" i="98"/>
  <c r="G97" i="98" s="1"/>
  <c r="B96" i="98"/>
  <c r="G96" i="98" s="1"/>
  <c r="B95" i="98"/>
  <c r="G95" i="98" s="1"/>
  <c r="B94" i="98"/>
  <c r="G94" i="98" s="1"/>
  <c r="B93" i="98"/>
  <c r="G93" i="98" s="1"/>
  <c r="B92" i="98"/>
  <c r="G92" i="98" s="1"/>
  <c r="B91" i="98"/>
  <c r="G91" i="98" s="1"/>
  <c r="B90" i="98"/>
  <c r="G90" i="98" s="1"/>
  <c r="B89" i="98"/>
  <c r="G89" i="98" s="1"/>
  <c r="B88" i="98"/>
  <c r="B87" i="98"/>
  <c r="B86" i="98"/>
  <c r="B85" i="98"/>
  <c r="G85" i="98" s="1"/>
  <c r="B84" i="98"/>
  <c r="G84" i="98" s="1"/>
  <c r="B83" i="98"/>
  <c r="G83" i="98" s="1"/>
  <c r="B82" i="98"/>
  <c r="G82" i="98" s="1"/>
  <c r="B81" i="98"/>
  <c r="G81" i="98" s="1"/>
  <c r="B80" i="98"/>
  <c r="G80" i="98" s="1"/>
  <c r="B79" i="98"/>
  <c r="G79" i="98" s="1"/>
  <c r="B78" i="98"/>
  <c r="G78" i="98" s="1"/>
  <c r="B77" i="98"/>
  <c r="G77" i="98" s="1"/>
  <c r="B76" i="98"/>
  <c r="G76" i="98" s="1"/>
  <c r="B75" i="98"/>
  <c r="G75" i="98" s="1"/>
  <c r="B74" i="98"/>
  <c r="G74" i="98" s="1"/>
  <c r="B65" i="98"/>
  <c r="G65" i="98" s="1"/>
  <c r="B64" i="98"/>
  <c r="B63" i="98"/>
  <c r="B62" i="98"/>
  <c r="G62" i="98" s="1"/>
  <c r="B61" i="98"/>
  <c r="G61" i="98" s="1"/>
  <c r="B57" i="98"/>
  <c r="B56" i="98"/>
  <c r="G56" i="98" s="1"/>
  <c r="B23" i="98"/>
  <c r="G23" i="98" s="1"/>
  <c r="B22" i="98"/>
  <c r="G22" i="98" s="1"/>
  <c r="B12" i="98"/>
  <c r="G12" i="98" s="1"/>
  <c r="B11" i="98"/>
  <c r="G11" i="98" s="1"/>
  <c r="B9" i="98"/>
  <c r="G9" i="98" s="1"/>
  <c r="B8" i="98"/>
  <c r="G8" i="98" s="1"/>
  <c r="B7" i="98"/>
  <c r="G7" i="98" s="1"/>
  <c r="B3" i="98"/>
  <c r="G3" i="98" s="1"/>
  <c r="B2" i="98"/>
  <c r="G2" i="98" s="1"/>
  <c r="B1" i="98"/>
  <c r="G1" i="98" s="1"/>
  <c r="G409" i="98"/>
  <c r="G408" i="98"/>
  <c r="G407" i="98"/>
  <c r="G406" i="98"/>
  <c r="G405" i="98"/>
  <c r="G404" i="98"/>
  <c r="G403" i="98"/>
  <c r="G402" i="98"/>
  <c r="G401" i="98"/>
  <c r="G376" i="98"/>
  <c r="G375" i="98"/>
  <c r="G374" i="98"/>
  <c r="G372" i="98"/>
  <c r="G360" i="98"/>
  <c r="G359" i="98"/>
  <c r="G358" i="98"/>
  <c r="G344" i="98"/>
  <c r="G343" i="98"/>
  <c r="G342" i="98"/>
  <c r="G340" i="98"/>
  <c r="G328" i="98"/>
  <c r="G327" i="98"/>
  <c r="G326" i="98"/>
  <c r="G322" i="98"/>
  <c r="G312" i="98"/>
  <c r="G311" i="98"/>
  <c r="G310" i="98"/>
  <c r="G308" i="98"/>
  <c r="G296" i="98"/>
  <c r="G295" i="98"/>
  <c r="G294" i="98"/>
  <c r="G292" i="98"/>
  <c r="G280" i="98"/>
  <c r="G279" i="98"/>
  <c r="G278" i="98"/>
  <c r="G276" i="98"/>
  <c r="G264" i="98"/>
  <c r="G263" i="98"/>
  <c r="G262" i="98"/>
  <c r="G260" i="98"/>
  <c r="G258" i="98"/>
  <c r="G256" i="98"/>
  <c r="G255" i="98"/>
  <c r="G254" i="98"/>
  <c r="G248" i="98"/>
  <c r="G247" i="98"/>
  <c r="G246" i="98"/>
  <c r="G232" i="98"/>
  <c r="G231" i="98"/>
  <c r="G230" i="98"/>
  <c r="G228" i="98"/>
  <c r="G216" i="98"/>
  <c r="G215" i="98"/>
  <c r="G214" i="98"/>
  <c r="G212" i="98"/>
  <c r="G200" i="98"/>
  <c r="G199" i="98"/>
  <c r="G198" i="98"/>
  <c r="G184" i="98"/>
  <c r="G182" i="98"/>
  <c r="G180" i="98"/>
  <c r="G168" i="98"/>
  <c r="G166" i="98"/>
  <c r="G152" i="98"/>
  <c r="G151" i="98"/>
  <c r="G150" i="98"/>
  <c r="G136" i="98"/>
  <c r="G135" i="98"/>
  <c r="G134" i="98"/>
  <c r="G132" i="98"/>
  <c r="G120" i="98"/>
  <c r="G118" i="98"/>
  <c r="G116" i="98"/>
  <c r="G104" i="98"/>
  <c r="G102" i="98"/>
  <c r="G88" i="98"/>
  <c r="G87" i="98"/>
  <c r="G86" i="98"/>
  <c r="G64" i="98"/>
  <c r="G63" i="98"/>
  <c r="G57" i="98"/>
  <c r="AD26" i="99" l="1" a="1"/>
  <c r="AD26" i="99" s="1"/>
  <c r="AE26" i="99" a="1"/>
  <c r="AE26" i="99" s="1"/>
  <c r="AF26" i="99" a="1"/>
  <c r="AF26" i="99" s="1"/>
  <c r="E20" i="73"/>
  <c r="C11" i="73"/>
  <c r="B10" i="98" s="1"/>
  <c r="E13" i="68" l="1"/>
  <c r="E11" i="68"/>
  <c r="N41" i="95" l="1" a="1"/>
  <c r="N41" i="95" s="1"/>
  <c r="N23" i="95" a="1"/>
  <c r="N23" i="95" s="1"/>
  <c r="N36" i="95" a="1"/>
  <c r="N36" i="95" s="1"/>
  <c r="N40" i="95" a="1"/>
  <c r="N40" i="95" s="1"/>
  <c r="N38" i="95" a="1"/>
  <c r="N38" i="95" s="1"/>
  <c r="N22" i="95" a="1"/>
  <c r="N22" i="95" s="1"/>
  <c r="N21" i="95" a="1"/>
  <c r="N21" i="95" s="1"/>
  <c r="N18" i="95" a="1"/>
  <c r="N18" i="95" s="1"/>
  <c r="D65" i="102"/>
  <c r="E64" i="102"/>
  <c r="D62" i="102"/>
  <c r="E61" i="102"/>
  <c r="D59" i="102"/>
  <c r="E58" i="102"/>
  <c r="E49" i="102"/>
  <c r="E50" i="102" s="1"/>
  <c r="E46" i="102"/>
  <c r="E45" i="102"/>
  <c r="E44" i="102"/>
  <c r="E43" i="102"/>
  <c r="E42" i="102"/>
  <c r="E41" i="102"/>
  <c r="E40" i="102"/>
  <c r="E39" i="102"/>
  <c r="E38" i="102"/>
  <c r="E35" i="102"/>
  <c r="E34" i="102"/>
  <c r="E33" i="102"/>
  <c r="E32" i="102"/>
  <c r="E31" i="102"/>
  <c r="E30" i="102"/>
  <c r="E29" i="102"/>
  <c r="E26" i="102"/>
  <c r="E25" i="102"/>
  <c r="E24" i="102"/>
  <c r="E23" i="102"/>
  <c r="E22" i="102"/>
  <c r="E21" i="102"/>
  <c r="E20" i="102"/>
  <c r="E19" i="102"/>
  <c r="E18" i="102"/>
  <c r="E17" i="102"/>
  <c r="E14" i="102"/>
  <c r="E13" i="102"/>
  <c r="E12" i="102"/>
  <c r="E10" i="102"/>
  <c r="F6" i="102"/>
  <c r="D15" i="102" l="1"/>
  <c r="D66" i="102"/>
  <c r="D70" i="102" s="1"/>
  <c r="E47" i="102"/>
  <c r="E36" i="102"/>
  <c r="E27" i="102"/>
  <c r="D52" i="102" l="1"/>
  <c r="D69" i="102" s="1"/>
  <c r="D72" i="102" s="1"/>
  <c r="G110" i="101" l="1"/>
  <c r="E110" i="101"/>
  <c r="G109" i="101"/>
  <c r="E109" i="101"/>
  <c r="G108" i="101"/>
  <c r="E108" i="101"/>
  <c r="G107" i="101"/>
  <c r="E107" i="101"/>
  <c r="G106" i="101"/>
  <c r="E106" i="101"/>
  <c r="G105" i="101"/>
  <c r="E105" i="101"/>
  <c r="G104" i="101"/>
  <c r="E104" i="101"/>
  <c r="G100" i="101"/>
  <c r="E100" i="101"/>
  <c r="G99" i="101"/>
  <c r="E99" i="101"/>
  <c r="G98" i="101"/>
  <c r="E98" i="101"/>
  <c r="G97" i="101"/>
  <c r="E97" i="101"/>
  <c r="G96" i="101"/>
  <c r="E96" i="101"/>
  <c r="G95" i="101"/>
  <c r="E95" i="101"/>
  <c r="G94" i="101"/>
  <c r="E94" i="101"/>
  <c r="G93" i="101"/>
  <c r="E93" i="101"/>
  <c r="G92" i="101"/>
  <c r="E92" i="101"/>
  <c r="D89" i="101"/>
  <c r="D120" i="101" s="1"/>
  <c r="D78" i="101"/>
  <c r="D119" i="101" s="1"/>
  <c r="E71" i="101"/>
  <c r="E70" i="101"/>
  <c r="E69" i="101"/>
  <c r="E68" i="101"/>
  <c r="E67" i="101"/>
  <c r="E66" i="101"/>
  <c r="E65" i="101"/>
  <c r="E64" i="101"/>
  <c r="E63" i="101"/>
  <c r="E62" i="101"/>
  <c r="E61" i="101"/>
  <c r="G57" i="101"/>
  <c r="E57" i="101"/>
  <c r="G56" i="101"/>
  <c r="E56" i="101"/>
  <c r="G55" i="101"/>
  <c r="E55" i="101"/>
  <c r="G54" i="101"/>
  <c r="E54" i="101"/>
  <c r="G53" i="101"/>
  <c r="E53" i="101"/>
  <c r="G52" i="101"/>
  <c r="E52" i="101"/>
  <c r="G51" i="101"/>
  <c r="E51" i="101"/>
  <c r="G50" i="101"/>
  <c r="E50" i="101"/>
  <c r="G49" i="101"/>
  <c r="E49" i="101"/>
  <c r="G48" i="101"/>
  <c r="E48" i="101"/>
  <c r="G47" i="101"/>
  <c r="E47" i="101"/>
  <c r="G43" i="101"/>
  <c r="E43" i="101"/>
  <c r="G42" i="101"/>
  <c r="E42" i="101"/>
  <c r="G41" i="101"/>
  <c r="E41" i="101"/>
  <c r="G40" i="101"/>
  <c r="E40" i="101"/>
  <c r="G39" i="101"/>
  <c r="E39" i="101"/>
  <c r="G38" i="101"/>
  <c r="E38" i="101"/>
  <c r="G37" i="101"/>
  <c r="E37" i="101"/>
  <c r="G36" i="101"/>
  <c r="E36" i="101"/>
  <c r="G35" i="101"/>
  <c r="E35" i="101"/>
  <c r="G34" i="101"/>
  <c r="E34" i="101"/>
  <c r="G33" i="101"/>
  <c r="E33" i="101"/>
  <c r="E29" i="101"/>
  <c r="E28" i="101"/>
  <c r="E27" i="101"/>
  <c r="E26" i="101"/>
  <c r="E25" i="101"/>
  <c r="E24" i="101"/>
  <c r="E23" i="101"/>
  <c r="E22" i="101"/>
  <c r="E21" i="101"/>
  <c r="E20" i="101"/>
  <c r="E19" i="101"/>
  <c r="F16" i="101"/>
  <c r="D16" i="101"/>
  <c r="H9" i="101"/>
  <c r="H8" i="101"/>
  <c r="H6" i="101"/>
  <c r="E56" i="94"/>
  <c r="E55" i="94"/>
  <c r="E54" i="94"/>
  <c r="E53" i="94"/>
  <c r="E52" i="94"/>
  <c r="E51" i="94"/>
  <c r="E50" i="94"/>
  <c r="E49" i="94"/>
  <c r="E48" i="94"/>
  <c r="E47" i="94"/>
  <c r="E46" i="94"/>
  <c r="E33" i="94"/>
  <c r="E32" i="94"/>
  <c r="E28" i="94"/>
  <c r="E27" i="94"/>
  <c r="E26" i="94"/>
  <c r="E25" i="94"/>
  <c r="E24" i="94"/>
  <c r="E23" i="94"/>
  <c r="E22" i="94"/>
  <c r="E21" i="94"/>
  <c r="E20" i="94"/>
  <c r="E19" i="94"/>
  <c r="E18" i="94"/>
  <c r="D111" i="101" l="1"/>
  <c r="F111" i="101"/>
  <c r="D101" i="101"/>
  <c r="F101" i="101"/>
  <c r="D57" i="94"/>
  <c r="D83" i="94" s="1"/>
  <c r="D29" i="94"/>
  <c r="D81" i="94" s="1"/>
  <c r="D72" i="101"/>
  <c r="D117" i="101" s="1"/>
  <c r="F44" i="101"/>
  <c r="F115" i="101" s="1"/>
  <c r="F58" i="101"/>
  <c r="F116" i="101" s="1"/>
  <c r="D58" i="101"/>
  <c r="D116" i="101" s="1"/>
  <c r="D44" i="101"/>
  <c r="D115" i="101" s="1"/>
  <c r="D30" i="101"/>
  <c r="D114" i="101" s="1"/>
  <c r="E24" i="68"/>
  <c r="D118" i="101" l="1"/>
  <c r="F118" i="101"/>
  <c r="J58" i="100"/>
  <c r="D58" i="100"/>
  <c r="D48" i="100"/>
  <c r="D35" i="100"/>
  <c r="D29" i="100"/>
  <c r="M22" i="100"/>
  <c r="J22" i="100"/>
  <c r="G22" i="100"/>
  <c r="D22" i="100"/>
  <c r="D14" i="100"/>
  <c r="P10" i="100"/>
  <c r="P9" i="100"/>
  <c r="P6" i="100"/>
  <c r="D91" i="95"/>
  <c r="K81" i="95"/>
  <c r="F81" i="95"/>
  <c r="M80" i="95"/>
  <c r="H80" i="95"/>
  <c r="M79" i="95"/>
  <c r="H79" i="95"/>
  <c r="M78" i="95"/>
  <c r="H78" i="95"/>
  <c r="M77" i="95"/>
  <c r="H77" i="95"/>
  <c r="M76" i="95"/>
  <c r="H76" i="95"/>
  <c r="M75" i="95"/>
  <c r="H75" i="95"/>
  <c r="M74" i="95"/>
  <c r="H74" i="95"/>
  <c r="M73" i="95"/>
  <c r="H73" i="95"/>
  <c r="M72" i="95"/>
  <c r="H72" i="95"/>
  <c r="M71" i="95"/>
  <c r="H71" i="95"/>
  <c r="M70" i="95"/>
  <c r="H70" i="95"/>
  <c r="M69" i="95"/>
  <c r="H69" i="95"/>
  <c r="M68" i="95"/>
  <c r="H68" i="95"/>
  <c r="M67" i="95"/>
  <c r="H67" i="95"/>
  <c r="D103" i="95" l="1"/>
  <c r="D109" i="95" s="1"/>
  <c r="D124" i="101"/>
  <c r="D123" i="101"/>
  <c r="D60" i="100"/>
  <c r="D69" i="100" s="1"/>
  <c r="D23" i="100"/>
  <c r="D50" i="100" s="1"/>
  <c r="D68" i="100" s="1"/>
  <c r="M81" i="95"/>
  <c r="H81" i="95"/>
  <c r="D126" i="101" l="1"/>
  <c r="G7" i="97" s="1"/>
  <c r="AF7" i="99" a="1"/>
  <c r="AF7" i="99" s="1"/>
  <c r="AF8" i="99" a="1"/>
  <c r="AF8" i="99" s="1"/>
  <c r="AF9" i="99" a="1"/>
  <c r="AF9" i="99" s="1"/>
  <c r="AF10" i="99" a="1"/>
  <c r="AF10" i="99" s="1"/>
  <c r="AF11" i="99" a="1"/>
  <c r="AF11" i="99" s="1"/>
  <c r="AF12" i="99" a="1"/>
  <c r="AF12" i="99" s="1"/>
  <c r="AF13" i="99" a="1"/>
  <c r="AF13" i="99" s="1"/>
  <c r="AF14" i="99" a="1"/>
  <c r="AF14" i="99" s="1"/>
  <c r="AF15" i="99" a="1"/>
  <c r="AF15" i="99" s="1"/>
  <c r="AF16" i="99" a="1"/>
  <c r="AF16" i="99" s="1"/>
  <c r="AF17" i="99" a="1"/>
  <c r="AF17" i="99" s="1"/>
  <c r="AF18" i="99" a="1"/>
  <c r="AF18" i="99" s="1"/>
  <c r="AF19" i="99" a="1"/>
  <c r="AF19" i="99" s="1"/>
  <c r="AF20" i="99" a="1"/>
  <c r="AF20" i="99" s="1"/>
  <c r="AF21" i="99" a="1"/>
  <c r="AF21" i="99" s="1"/>
  <c r="AF22" i="99" a="1"/>
  <c r="AF22" i="99" s="1"/>
  <c r="AF23" i="99" a="1"/>
  <c r="AF23" i="99" s="1"/>
  <c r="AF24" i="99" a="1"/>
  <c r="AF24" i="99" s="1"/>
  <c r="AF25" i="99" a="1"/>
  <c r="AF25" i="99" s="1"/>
  <c r="AF27" i="99" a="1"/>
  <c r="AF27" i="99" s="1"/>
  <c r="AF28" i="99" a="1"/>
  <c r="AF28" i="99" s="1"/>
  <c r="AF29" i="99" a="1"/>
  <c r="AF29" i="99" s="1"/>
  <c r="AF30" i="99" a="1"/>
  <c r="AF30" i="99" s="1"/>
  <c r="AF31" i="99" a="1"/>
  <c r="AF31" i="99" s="1"/>
  <c r="AF32" i="99" a="1"/>
  <c r="AF32" i="99" s="1"/>
  <c r="AF33" i="99" a="1"/>
  <c r="AF33" i="99" s="1"/>
  <c r="AF34" i="99" a="1"/>
  <c r="AF34" i="99" s="1"/>
  <c r="AF6" i="99" a="1"/>
  <c r="AF6" i="99" s="1"/>
  <c r="AE7" i="99" a="1"/>
  <c r="AE7" i="99" s="1"/>
  <c r="AE8" i="99" a="1"/>
  <c r="AE8" i="99" s="1"/>
  <c r="AE9" i="99" a="1"/>
  <c r="AE9" i="99" s="1"/>
  <c r="AE10" i="99" a="1"/>
  <c r="AE10" i="99" s="1"/>
  <c r="AE11" i="99" a="1"/>
  <c r="AE11" i="99" s="1"/>
  <c r="AE12" i="99" a="1"/>
  <c r="AE12" i="99" s="1"/>
  <c r="AE13" i="99" a="1"/>
  <c r="AE13" i="99" s="1"/>
  <c r="AE14" i="99" a="1"/>
  <c r="AE14" i="99" s="1"/>
  <c r="AE15" i="99" a="1"/>
  <c r="AE15" i="99" s="1"/>
  <c r="AE16" i="99" a="1"/>
  <c r="AE16" i="99" s="1"/>
  <c r="AE17" i="99" a="1"/>
  <c r="AE17" i="99" s="1"/>
  <c r="AE18" i="99" a="1"/>
  <c r="AE18" i="99" s="1"/>
  <c r="AE19" i="99" a="1"/>
  <c r="AE19" i="99" s="1"/>
  <c r="AE20" i="99" a="1"/>
  <c r="AE20" i="99" s="1"/>
  <c r="AE21" i="99" a="1"/>
  <c r="AE21" i="99" s="1"/>
  <c r="AE22" i="99" a="1"/>
  <c r="AE22" i="99" s="1"/>
  <c r="AE23" i="99" a="1"/>
  <c r="AE23" i="99" s="1"/>
  <c r="AE24" i="99" a="1"/>
  <c r="AE24" i="99" s="1"/>
  <c r="AE25" i="99" a="1"/>
  <c r="AE25" i="99" s="1"/>
  <c r="AE27" i="99" a="1"/>
  <c r="AE27" i="99" s="1"/>
  <c r="AE28" i="99" a="1"/>
  <c r="AE28" i="99" s="1"/>
  <c r="AE29" i="99" a="1"/>
  <c r="AE29" i="99" s="1"/>
  <c r="AE30" i="99" a="1"/>
  <c r="AE30" i="99" s="1"/>
  <c r="AE31" i="99" a="1"/>
  <c r="AE31" i="99" s="1"/>
  <c r="AE32" i="99" a="1"/>
  <c r="AE32" i="99" s="1"/>
  <c r="AE33" i="99" a="1"/>
  <c r="AE33" i="99" s="1"/>
  <c r="AE34" i="99" a="1"/>
  <c r="AE34" i="99" s="1"/>
  <c r="AE6" i="99" a="1"/>
  <c r="AE6" i="99" s="1"/>
  <c r="AD7" i="99" a="1"/>
  <c r="AD7" i="99" s="1"/>
  <c r="AD8" i="99" a="1"/>
  <c r="AD8" i="99" s="1"/>
  <c r="AD9" i="99" a="1"/>
  <c r="AD9" i="99" s="1"/>
  <c r="AD10" i="99" a="1"/>
  <c r="AD10" i="99" s="1"/>
  <c r="AD11" i="99" a="1"/>
  <c r="AD11" i="99" s="1"/>
  <c r="AD12" i="99" a="1"/>
  <c r="AD12" i="99" s="1"/>
  <c r="AD13" i="99" a="1"/>
  <c r="AD13" i="99" s="1"/>
  <c r="AD14" i="99" a="1"/>
  <c r="AD14" i="99" s="1"/>
  <c r="AD15" i="99" a="1"/>
  <c r="AD15" i="99" s="1"/>
  <c r="AD16" i="99" a="1"/>
  <c r="AD16" i="99" s="1"/>
  <c r="AD17" i="99" a="1"/>
  <c r="AD17" i="99" s="1"/>
  <c r="AD18" i="99" a="1"/>
  <c r="AD18" i="99" s="1"/>
  <c r="AD19" i="99" a="1"/>
  <c r="AD19" i="99" s="1"/>
  <c r="AD20" i="99" a="1"/>
  <c r="AD20" i="99" s="1"/>
  <c r="AD21" i="99" a="1"/>
  <c r="AD21" i="99" s="1"/>
  <c r="AD22" i="99" a="1"/>
  <c r="AD22" i="99" s="1"/>
  <c r="AD23" i="99" a="1"/>
  <c r="AD23" i="99" s="1"/>
  <c r="AD24" i="99" a="1"/>
  <c r="AD24" i="99" s="1"/>
  <c r="AD25" i="99" a="1"/>
  <c r="AD25" i="99" s="1"/>
  <c r="AD27" i="99" a="1"/>
  <c r="AD27" i="99" s="1"/>
  <c r="AD28" i="99" a="1"/>
  <c r="AD28" i="99" s="1"/>
  <c r="AD29" i="99" a="1"/>
  <c r="AD29" i="99" s="1"/>
  <c r="AD30" i="99" a="1"/>
  <c r="AD30" i="99" s="1"/>
  <c r="AD31" i="99" a="1"/>
  <c r="AD31" i="99" s="1"/>
  <c r="AD32" i="99" a="1"/>
  <c r="AD32" i="99" s="1"/>
  <c r="AD33" i="99" a="1"/>
  <c r="AD33" i="99" s="1"/>
  <c r="AD34" i="99" a="1"/>
  <c r="AD34" i="99" s="1"/>
  <c r="AD6" i="99" a="1"/>
  <c r="AD6" i="99" s="1"/>
  <c r="E35" i="99" a="1"/>
  <c r="E35" i="99" s="1"/>
  <c r="F35" i="99" a="1"/>
  <c r="F35" i="99" s="1"/>
  <c r="G35" i="99" a="1"/>
  <c r="G35" i="99" s="1"/>
  <c r="H35" i="99" a="1"/>
  <c r="H35" i="99" s="1"/>
  <c r="I35" i="99" a="1"/>
  <c r="I35" i="99" s="1"/>
  <c r="J35" i="99" a="1"/>
  <c r="J35" i="99" s="1"/>
  <c r="K35" i="99" a="1"/>
  <c r="K35" i="99" s="1"/>
  <c r="L35" i="99" a="1"/>
  <c r="L35" i="99" s="1"/>
  <c r="M35" i="99" a="1"/>
  <c r="M35" i="99" s="1"/>
  <c r="N35" i="99" a="1"/>
  <c r="N35" i="99" s="1"/>
  <c r="B16" i="98" s="1"/>
  <c r="O35" i="99" a="1"/>
  <c r="O35" i="99" s="1"/>
  <c r="B17" i="98" s="1"/>
  <c r="P35" i="99" a="1"/>
  <c r="P35" i="99" s="1"/>
  <c r="B18" i="98" s="1"/>
  <c r="Q35" i="99" a="1"/>
  <c r="Q35" i="99" s="1"/>
  <c r="B70" i="98" s="1" a="1"/>
  <c r="B70" i="98" s="1"/>
  <c r="R35" i="99" a="1"/>
  <c r="R35" i="99" s="1"/>
  <c r="B71" i="98" s="1"/>
  <c r="S35" i="99" a="1"/>
  <c r="S35" i="99" s="1"/>
  <c r="B72" i="98" s="1"/>
  <c r="T35" i="99" a="1"/>
  <c r="T35" i="99" s="1"/>
  <c r="U35" i="99" a="1"/>
  <c r="U35" i="99" s="1"/>
  <c r="V35" i="99" a="1"/>
  <c r="V35" i="99" s="1"/>
  <c r="B14" i="98" s="1"/>
  <c r="W35" i="99" a="1"/>
  <c r="W35" i="99" s="1"/>
  <c r="X35" i="99" a="1"/>
  <c r="X35" i="99" s="1"/>
  <c r="B15" i="98" s="1"/>
  <c r="Y35" i="99" a="1"/>
  <c r="Y35" i="99" s="1"/>
  <c r="Z35" i="99" a="1"/>
  <c r="Z35" i="99" s="1"/>
  <c r="AA35" i="99" a="1"/>
  <c r="AA35" i="99" s="1"/>
  <c r="AB35" i="99" a="1"/>
  <c r="AB35" i="99" s="1"/>
  <c r="D35" i="99" a="1"/>
  <c r="D35" i="99" s="1"/>
  <c r="A1" i="99"/>
  <c r="B39" i="99" s="1"/>
  <c r="I7" i="97" a="1"/>
  <c r="B19" i="98" l="1"/>
  <c r="B45" i="98"/>
  <c r="B396" i="98" a="1"/>
  <c r="B396" i="98" s="1"/>
  <c r="B51" i="98" a="1"/>
  <c r="B51" i="98" s="1"/>
  <c r="B50" i="98"/>
  <c r="B398" i="98" a="1"/>
  <c r="B398" i="98" s="1"/>
  <c r="B397" i="98" a="1"/>
  <c r="B397" i="98" s="1"/>
  <c r="I7" i="97"/>
  <c r="E8" i="97"/>
  <c r="E7" i="97"/>
  <c r="E6" i="97"/>
  <c r="AF35" i="99" a="1"/>
  <c r="AF35" i="99" s="1"/>
  <c r="B21" i="98" s="1"/>
  <c r="AE35" i="99" a="1"/>
  <c r="AE35" i="99" s="1"/>
  <c r="AD35" i="99" a="1"/>
  <c r="AD35" i="99" s="1"/>
  <c r="B20" i="98" s="1"/>
  <c r="B38" i="99"/>
  <c r="B385" i="98" a="1"/>
  <c r="B383" i="98" a="1"/>
  <c r="B393" i="98" a="1"/>
  <c r="B46" i="98" a="1"/>
  <c r="B392" i="98" a="1"/>
  <c r="B390" i="98" a="1"/>
  <c r="B395" i="98" a="1"/>
  <c r="B382" i="98" a="1"/>
  <c r="B384" i="98" a="1"/>
  <c r="B389" i="98" a="1"/>
  <c r="B391" i="98" a="1"/>
  <c r="B388" i="98" a="1"/>
  <c r="B394" i="98" a="1"/>
  <c r="B382" i="98" l="1"/>
  <c r="B395" i="98"/>
  <c r="B389" i="98"/>
  <c r="B390" i="98"/>
  <c r="B391" i="98"/>
  <c r="B393" i="98"/>
  <c r="B384" i="98"/>
  <c r="B394" i="98"/>
  <c r="B383" i="98"/>
  <c r="B392" i="98"/>
  <c r="B46" i="98"/>
  <c r="B385" i="98"/>
  <c r="B388" i="98"/>
  <c r="B69" i="98"/>
  <c r="B68" i="98"/>
  <c r="E11" i="97"/>
  <c r="E9" i="97"/>
  <c r="E10" i="97"/>
  <c r="F47" i="96"/>
  <c r="E47" i="96"/>
  <c r="D47" i="96"/>
  <c r="E36" i="96"/>
  <c r="D36" i="96"/>
  <c r="F25" i="96"/>
  <c r="E25" i="96"/>
  <c r="D25" i="96"/>
  <c r="F14" i="96"/>
  <c r="E14" i="96"/>
  <c r="D14" i="96"/>
  <c r="C2" i="97"/>
  <c r="E16" i="97"/>
  <c r="H11" i="97"/>
  <c r="H10" i="97"/>
  <c r="H9" i="97"/>
  <c r="H8" i="97"/>
  <c r="H7" i="97"/>
  <c r="H6" i="97"/>
  <c r="C5" i="97"/>
  <c r="E28" i="68" l="1"/>
  <c r="E27" i="68"/>
  <c r="E26" i="68"/>
  <c r="E22" i="68"/>
  <c r="E21" i="68"/>
  <c r="E20" i="68"/>
  <c r="E19" i="68"/>
  <c r="E18" i="68"/>
  <c r="E17" i="68"/>
  <c r="E16" i="68"/>
  <c r="E15" i="68"/>
  <c r="E14" i="68"/>
  <c r="E25" i="68" l="1"/>
  <c r="E23" i="68"/>
  <c r="K56" i="95"/>
  <c r="F56" i="95"/>
  <c r="K55" i="95"/>
  <c r="F55" i="95"/>
  <c r="K53" i="95"/>
  <c r="F53" i="95"/>
  <c r="K52" i="95"/>
  <c r="F52" i="95"/>
  <c r="G13" i="96" l="1"/>
  <c r="G12" i="96"/>
  <c r="G11" i="96"/>
  <c r="G10" i="96"/>
  <c r="G9" i="96"/>
  <c r="G8" i="96"/>
  <c r="G7" i="96"/>
  <c r="G6" i="96"/>
  <c r="G46" i="96"/>
  <c r="G45" i="96"/>
  <c r="G44" i="96"/>
  <c r="G43" i="96"/>
  <c r="G42" i="96"/>
  <c r="G41" i="96"/>
  <c r="G40" i="96"/>
  <c r="G39" i="96"/>
  <c r="G35" i="96"/>
  <c r="G34" i="96"/>
  <c r="G33" i="96"/>
  <c r="G32" i="96"/>
  <c r="G31" i="96"/>
  <c r="G30" i="96"/>
  <c r="G29" i="96"/>
  <c r="G28" i="96"/>
  <c r="G24" i="96"/>
  <c r="G23" i="96"/>
  <c r="G22" i="96"/>
  <c r="G21" i="96"/>
  <c r="G20" i="96"/>
  <c r="G19" i="96"/>
  <c r="G18" i="96"/>
  <c r="G17" i="96"/>
  <c r="G36" i="96" l="1"/>
  <c r="G47" i="96"/>
  <c r="G14" i="96"/>
  <c r="G25" i="96"/>
  <c r="F12" i="67" l="1"/>
  <c r="F9" i="67"/>
  <c r="D9" i="67"/>
  <c r="D17" i="67" l="1" a="1"/>
  <c r="D17" i="67" s="1"/>
  <c r="D14" i="67"/>
  <c r="B60" i="98" s="1"/>
  <c r="D21" i="67"/>
  <c r="D18" i="67" l="1"/>
  <c r="D20" i="67" s="1"/>
  <c r="G11" i="97" s="1"/>
  <c r="B58" i="98" s="1"/>
  <c r="D100" i="95"/>
  <c r="I101" i="95"/>
  <c r="I100" i="95"/>
  <c r="D101" i="95"/>
  <c r="I11" i="97" a="1"/>
  <c r="B59" i="98" a="1"/>
  <c r="B59" i="98" l="1"/>
  <c r="I11" i="97"/>
  <c r="F96" i="95"/>
  <c r="F95" i="95"/>
  <c r="D15" i="95"/>
  <c r="D97" i="95" l="1"/>
  <c r="D104" i="95" s="1"/>
  <c r="D110" i="95" s="1"/>
  <c r="I57" i="95"/>
  <c r="D57" i="95"/>
  <c r="B386" i="98" a="1"/>
  <c r="B387" i="98" a="1"/>
  <c r="B387" i="98" l="1"/>
  <c r="B386" i="98"/>
  <c r="D102" i="95"/>
  <c r="D107" i="95" s="1"/>
  <c r="I102" i="95"/>
  <c r="D108" i="95" s="1"/>
  <c r="D112" i="95" l="1"/>
  <c r="G6" i="97" s="1"/>
  <c r="E77" i="94"/>
  <c r="E76" i="94"/>
  <c r="E75" i="94"/>
  <c r="E74" i="94"/>
  <c r="E73" i="94"/>
  <c r="E72" i="94"/>
  <c r="E71" i="94"/>
  <c r="E67" i="94"/>
  <c r="E66" i="94"/>
  <c r="E65" i="94"/>
  <c r="E64" i="94"/>
  <c r="B25" i="98" l="1"/>
  <c r="D78" i="94"/>
  <c r="E63" i="94"/>
  <c r="E62" i="94"/>
  <c r="E61" i="94"/>
  <c r="E60" i="94"/>
  <c r="B26" i="98" a="1"/>
  <c r="I6" i="97" a="1"/>
  <c r="B26" i="98" l="1"/>
  <c r="B27" i="98"/>
  <c r="B28" i="98"/>
  <c r="I6" i="97"/>
  <c r="D68" i="94"/>
  <c r="D84" i="94" s="1"/>
  <c r="D15" i="94" l="1"/>
  <c r="E34" i="94"/>
  <c r="E35" i="94"/>
  <c r="E36" i="94"/>
  <c r="E37" i="94"/>
  <c r="E38" i="94"/>
  <c r="E39" i="94"/>
  <c r="E40" i="94"/>
  <c r="E41" i="94"/>
  <c r="E42" i="94"/>
  <c r="D43" i="94" l="1"/>
  <c r="D82" i="94" l="1"/>
  <c r="D86" i="94" l="1"/>
  <c r="G8" i="97" s="1"/>
  <c r="E41" i="68"/>
  <c r="E38" i="68"/>
  <c r="D29" i="68" l="1"/>
  <c r="I8" i="97" a="1"/>
  <c r="I8" i="97" l="1"/>
  <c r="D39" i="68"/>
  <c r="D42" i="68" l="1"/>
  <c r="D46" i="68" l="1"/>
  <c r="D65" i="100" l="1"/>
  <c r="D70" i="100" s="1"/>
  <c r="D72" i="100" s="1"/>
  <c r="G9" i="97" s="1"/>
  <c r="B66" i="98" s="1"/>
  <c r="B67" i="98" a="1"/>
  <c r="B67" i="98" l="1"/>
  <c r="E35" i="68"/>
  <c r="D36" i="68"/>
  <c r="D43" i="68" s="1"/>
  <c r="D47" i="68" s="1"/>
  <c r="D49" i="68" s="1"/>
  <c r="G10" i="97" s="1"/>
  <c r="B54" i="98" s="1"/>
  <c r="B55" i="98" a="1"/>
  <c r="I9" i="97" a="1"/>
  <c r="B55" i="98" l="1"/>
  <c r="I9" i="97"/>
  <c r="F12" i="97"/>
  <c r="F5" i="97" s="1"/>
  <c r="I10" i="97" a="1"/>
  <c r="I10" i="97" l="1"/>
  <c r="F14" i="97"/>
  <c r="B5" i="98" s="1"/>
  <c r="H16" i="97" l="1"/>
  <c r="F2" i="97"/>
  <c r="B4" i="98" s="1"/>
  <c r="G10" i="98" l="1"/>
  <c r="G70" i="98" l="1"/>
  <c r="G71" i="98"/>
  <c r="G72" i="98"/>
  <c r="G14" i="98"/>
  <c r="G15" i="98"/>
  <c r="G16" i="98" l="1"/>
  <c r="G60" i="98"/>
  <c r="G19" i="98"/>
  <c r="G395" i="98"/>
  <c r="G389" i="98"/>
  <c r="G394" i="98"/>
  <c r="G391" i="98"/>
  <c r="G45" i="98"/>
  <c r="G393" i="98"/>
  <c r="G17" i="98"/>
  <c r="G392" i="98"/>
  <c r="G46" i="98"/>
  <c r="G390" i="98"/>
  <c r="G397" i="98"/>
  <c r="G396" i="98"/>
  <c r="G51" i="98"/>
  <c r="G50" i="98"/>
  <c r="G18" i="98"/>
  <c r="G398" i="98"/>
  <c r="G385" i="98" l="1"/>
  <c r="G388" i="98"/>
  <c r="G383" i="98"/>
  <c r="G384" i="98"/>
  <c r="G382" i="98"/>
  <c r="G21" i="98"/>
  <c r="G68" i="98"/>
  <c r="G20" i="98"/>
  <c r="G69" i="98"/>
  <c r="G58" i="98" l="1"/>
  <c r="G59" i="98" l="1"/>
  <c r="G387" i="98" l="1"/>
  <c r="G386" i="98"/>
  <c r="G26" i="98" l="1"/>
  <c r="G25" i="98"/>
  <c r="G28" i="98"/>
  <c r="G27" i="98"/>
  <c r="G66" i="98" l="1"/>
  <c r="G67" i="98" l="1"/>
  <c r="G54" i="98"/>
  <c r="G55" i="98" l="1"/>
  <c r="G5" i="98"/>
  <c r="G4" i="98" l="1"/>
  <c r="D1" i="9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Aled Williams</author>
  </authors>
  <commentList>
    <comment ref="Q4" authorId="0" shapeId="0" xr:uid="{A4015290-27C3-4FB0-A456-0C2E23728FE8}">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Y4" authorId="0" shapeId="0" xr:uid="{69525134-44F5-49DF-A049-C39BE28E86B7}">
      <text>
        <r>
          <rPr>
            <sz val="9"/>
            <color indexed="81"/>
            <rFont val="Tahoma"/>
            <family val="2"/>
          </rPr>
          <t xml:space="preserve">Does the SAS include a limiter - manually set and/or adaptive cruise control?
</t>
        </r>
      </text>
    </comment>
    <comment ref="AD4" authorId="0" shapeId="0" xr:uid="{A869CAD7-A3E4-42F4-9886-2EB546DF79AE}">
      <text>
        <r>
          <rPr>
            <b/>
            <sz val="9"/>
            <color indexed="81"/>
            <rFont val="Tahoma"/>
            <family val="2"/>
          </rPr>
          <t>LKA refers to systems that provide either lane keep assistance or emergency lane keeping, or both</t>
        </r>
        <r>
          <rPr>
            <sz val="9"/>
            <color indexed="81"/>
            <rFont val="Tahoma"/>
            <family val="2"/>
          </rPr>
          <t xml:space="preserve">
</t>
        </r>
      </text>
    </comment>
    <comment ref="AF4" authorId="0" shapeId="0" xr:uid="{EBFC6FB1-395C-4E28-8574-CA0AC16A8DE0}">
      <text>
        <r>
          <rPr>
            <sz val="9"/>
            <color indexed="81"/>
            <rFont val="Tahoma"/>
            <family val="2"/>
          </rPr>
          <t xml:space="preserve">Does the SAS include a limiter - manually set and/or adaptive cruise control?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D1FF4BFB-CC1F-46CD-A231-B75BE1A982CE}" name="CV XML mapping OVERALL RATING" type="4" refreshedVersion="0" background="1">
    <webPr xml="1" sourceData="1" url="C:\Users\RichardSchram\Desktop\CV XML mapping OVERALL RATING.xsd" htmlTables="1" htmlFormat="all"/>
  </connection>
  <connection id="2" xr16:uid="{4855A9BE-291D-4ABF-8E61-566FD57FD878}" name="CV XML mapping trial" type="4" refreshedVersion="0" background="1">
    <webPr xml="1" sourceData="1" url="C:\Users\RichardSchram\Desktop\CV XML mapping trial.xsd" htmlTables="1" htmlFormat="all"/>
  </connection>
  <connection id="3" xr16:uid="{D26B9220-61FB-4F2C-9DAA-ACB3E8C31AB6}" name="CV XML mapping trial1" type="4" refreshedVersion="0" background="1">
    <webPr xml="1" sourceData="1" url="C:\Users\RichardSchram\Desktop\CV XML mapping trial.xsd" htmlTables="1" htmlFormat="all"/>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<sst xmlns="http://schemas.openxmlformats.org/spreadsheetml/2006/main" count="2478" uniqueCount="827">
  <si>
    <t>Max Points available</t>
  </si>
  <si>
    <t>SAS</t>
  </si>
  <si>
    <t>Normalised Score</t>
  </si>
  <si>
    <t>Total Score</t>
  </si>
  <si>
    <t>Weight</t>
  </si>
  <si>
    <t>TOTAL SAS</t>
  </si>
  <si>
    <t>Type of system</t>
  </si>
  <si>
    <t>Warning Function</t>
  </si>
  <si>
    <t>Body Type</t>
  </si>
  <si>
    <t>SUMMARY</t>
  </si>
  <si>
    <t>Points</t>
  </si>
  <si>
    <t>Driver</t>
  </si>
  <si>
    <t>TOTAL</t>
  </si>
  <si>
    <t>Value</t>
  </si>
  <si>
    <t>Hand of drive</t>
  </si>
  <si>
    <t>Score</t>
  </si>
  <si>
    <t>Engine</t>
  </si>
  <si>
    <t>VEHICLE SPECIFICATION</t>
  </si>
  <si>
    <t>YEAR OF TEST</t>
  </si>
  <si>
    <t>Make</t>
  </si>
  <si>
    <t>Trim level</t>
  </si>
  <si>
    <t>Kerb weight (kg)</t>
  </si>
  <si>
    <t>AEB</t>
  </si>
  <si>
    <t>CCRs</t>
  </si>
  <si>
    <t>HMI</t>
  </si>
  <si>
    <t>Default ON after every journey</t>
  </si>
  <si>
    <t>Additional HMI features</t>
  </si>
  <si>
    <t>HMI RESULT</t>
  </si>
  <si>
    <t>FCW</t>
  </si>
  <si>
    <t>SYSTEM DETAILS</t>
  </si>
  <si>
    <t>Functionality</t>
  </si>
  <si>
    <t>Maximum</t>
  </si>
  <si>
    <t>CCRm</t>
  </si>
  <si>
    <t>CCRb</t>
  </si>
  <si>
    <t>12m headway</t>
  </si>
  <si>
    <r>
      <t>-2m/s</t>
    </r>
    <r>
      <rPr>
        <sz val="10"/>
        <rFont val="Calibri"/>
        <family val="2"/>
      </rPr>
      <t>²</t>
    </r>
    <r>
      <rPr>
        <sz val="10"/>
        <rFont val="Calibri"/>
        <family val="2"/>
      </rPr>
      <t xml:space="preserve"> EVT acceleration</t>
    </r>
  </si>
  <si>
    <r>
      <t>-6m/s</t>
    </r>
    <r>
      <rPr>
        <sz val="10"/>
        <rFont val="Calibri"/>
        <family val="2"/>
      </rPr>
      <t>²</t>
    </r>
    <r>
      <rPr>
        <sz val="10"/>
        <rFont val="Calibri"/>
        <family val="2"/>
      </rPr>
      <t xml:space="preserve"> EVT acceleration</t>
    </r>
  </si>
  <si>
    <t>40m headway</t>
  </si>
  <si>
    <t>CCRb RESULT</t>
  </si>
  <si>
    <t>Suplementary warning</t>
  </si>
  <si>
    <t>Restraint activation / dynamic retractors</t>
  </si>
  <si>
    <t>3 door hatchback</t>
  </si>
  <si>
    <t>3 door wgon</t>
  </si>
  <si>
    <t>5 door wagon</t>
  </si>
  <si>
    <t>5 door SUV</t>
  </si>
  <si>
    <t>3 door SUV</t>
  </si>
  <si>
    <t>5 door MPV</t>
  </si>
  <si>
    <t>Speed range (km/h) - Minimum</t>
  </si>
  <si>
    <t>Seat arrangement</t>
  </si>
  <si>
    <t>Model</t>
  </si>
  <si>
    <t>AEB and/or FCW</t>
  </si>
  <si>
    <t>COMMENTS</t>
  </si>
  <si>
    <t>SAS tests</t>
  </si>
  <si>
    <t>System name</t>
  </si>
  <si>
    <t>Visual warning</t>
  </si>
  <si>
    <t>Audible warning</t>
  </si>
  <si>
    <t>Front Passenger</t>
  </si>
  <si>
    <t>Seat Belt Reminder assessment</t>
  </si>
  <si>
    <t>SPEED LIMIT INFORMATION FUNCTION</t>
  </si>
  <si>
    <t>SPEED LIMIT INFORMATION FUNCTION RESULT</t>
  </si>
  <si>
    <t>Speed Limit Information Function</t>
  </si>
  <si>
    <t>Type of warning</t>
  </si>
  <si>
    <t>Setting Vadj</t>
  </si>
  <si>
    <t>Position of warning</t>
  </si>
  <si>
    <t>50 km/h test</t>
  </si>
  <si>
    <t>80 km/h test</t>
  </si>
  <si>
    <t>120 km/h test</t>
  </si>
  <si>
    <t xml:space="preserve">Total duration </t>
  </si>
  <si>
    <t>Vstab</t>
  </si>
  <si>
    <t>AEB Pedestrian</t>
  </si>
  <si>
    <t>PREREQUISITES</t>
  </si>
  <si>
    <t>TOTAL AEB Pedestrian</t>
  </si>
  <si>
    <t>ESC meeting R13H</t>
  </si>
  <si>
    <t>Default ON</t>
  </si>
  <si>
    <t>Blind Spot Monitoring</t>
  </si>
  <si>
    <t>front row</t>
  </si>
  <si>
    <t>second row</t>
  </si>
  <si>
    <t>third row</t>
  </si>
  <si>
    <t>Safety Pack</t>
  </si>
  <si>
    <t>AEB Pedestrian tests</t>
  </si>
  <si>
    <t>difference between Vstab and Vadj</t>
  </si>
  <si>
    <t>LKA</t>
  </si>
  <si>
    <t>LSS</t>
  </si>
  <si>
    <t>LSS tests</t>
  </si>
  <si>
    <t>Occupant detection</t>
  </si>
  <si>
    <t>General requirements</t>
  </si>
  <si>
    <t>Advanced Functions</t>
  </si>
  <si>
    <t>Weather - Rain / Wetness</t>
  </si>
  <si>
    <t>Weather - Snow / Icy</t>
  </si>
  <si>
    <t>Time</t>
  </si>
  <si>
    <t>Arrows</t>
  </si>
  <si>
    <t>Implicit Speed Limits - Highway / Motorway</t>
  </si>
  <si>
    <t>Implicit Speed Limits - City Entry / Exit</t>
  </si>
  <si>
    <t>Implicit Speed Limits - Residential Zones</t>
  </si>
  <si>
    <t>Distance For / In</t>
  </si>
  <si>
    <t>Vehicle Categories</t>
  </si>
  <si>
    <t>Dynamic Speed Limits</t>
  </si>
  <si>
    <t>System Accuracy</t>
  </si>
  <si>
    <t>SPEED CONTROL FUNCTION</t>
  </si>
  <si>
    <t>SPEED CONTROL FUNCTION RESULT</t>
  </si>
  <si>
    <t>AEB Cyclist tests</t>
  </si>
  <si>
    <t>Speed Control Function</t>
  </si>
  <si>
    <t>Test Speed</t>
  </si>
  <si>
    <t>Daytime</t>
  </si>
  <si>
    <r>
      <t>V</t>
    </r>
    <r>
      <rPr>
        <b/>
        <vertAlign val="subscript"/>
        <sz val="10"/>
        <rFont val="Calibri"/>
        <family val="2"/>
        <scheme val="minor"/>
      </rPr>
      <t>impact</t>
    </r>
  </si>
  <si>
    <t>System Name</t>
  </si>
  <si>
    <t>System switches off below 80 km/h</t>
  </si>
  <si>
    <t>CPFA-50</t>
  </si>
  <si>
    <t>CPFA-50 RESULT</t>
  </si>
  <si>
    <t>CPNA-25</t>
  </si>
  <si>
    <t>CPNA-25 RESULT</t>
  </si>
  <si>
    <t>CPNA-75</t>
  </si>
  <si>
    <t>CPNA-75 RESULT</t>
  </si>
  <si>
    <t>CPNC-50</t>
  </si>
  <si>
    <t>CPNC-50 RESULT</t>
  </si>
  <si>
    <t>CPLA-50</t>
  </si>
  <si>
    <t>CPLA-50 RESULT</t>
  </si>
  <si>
    <t>CPLA-25</t>
  </si>
  <si>
    <r>
      <t>TTC</t>
    </r>
    <r>
      <rPr>
        <b/>
        <vertAlign val="subscript"/>
        <sz val="10"/>
        <rFont val="Calibri"/>
        <family val="2"/>
        <scheme val="minor"/>
      </rPr>
      <t>FCW</t>
    </r>
  </si>
  <si>
    <t>CPLA-25 RESULT</t>
  </si>
  <si>
    <t>DAYTIME</t>
  </si>
  <si>
    <t>CBLA-25</t>
  </si>
  <si>
    <t>CBLA-50</t>
  </si>
  <si>
    <t>CBNA-50</t>
  </si>
  <si>
    <t>CBLA-25 RESULT</t>
  </si>
  <si>
    <t>CBLA-50 RESULT</t>
  </si>
  <si>
    <t>CBNA-50 RESULT</t>
  </si>
  <si>
    <t>CBNA</t>
  </si>
  <si>
    <t>AEB Cyclist</t>
  </si>
  <si>
    <t>Lane Support Systems</t>
  </si>
  <si>
    <t>Default ON (partly)</t>
  </si>
  <si>
    <t>Emergency Lane Keeping</t>
  </si>
  <si>
    <t>Road Edge</t>
  </si>
  <si>
    <t>No line</t>
  </si>
  <si>
    <t>ELK Road Edge assessment</t>
  </si>
  <si>
    <t>Oncoming vehicle</t>
  </si>
  <si>
    <t>ELK Oncoming vehicle assessment</t>
  </si>
  <si>
    <t>Unintentional</t>
  </si>
  <si>
    <t>Intentional</t>
  </si>
  <si>
    <t>ELK Overtaking vehicle assessment</t>
  </si>
  <si>
    <t>ELK RESULT</t>
  </si>
  <si>
    <t>Lane Keep Assist</t>
  </si>
  <si>
    <t>Driver side</t>
  </si>
  <si>
    <t>Passenger side</t>
  </si>
  <si>
    <t>Dashed Line</t>
  </si>
  <si>
    <t>Solid Line</t>
  </si>
  <si>
    <t>LKA RESULT</t>
  </si>
  <si>
    <t>Lane Departure Warning</t>
  </si>
  <si>
    <t>ELK</t>
  </si>
  <si>
    <t>TOTAL Lane Support Systems</t>
  </si>
  <si>
    <t>TOTAL AEB Cyclist</t>
  </si>
  <si>
    <t>Loud and Clear FCW</t>
  </si>
  <si>
    <t>Predicted CCRs score</t>
  </si>
  <si>
    <t>Predicted CCRm score</t>
  </si>
  <si>
    <t>Testpoints CCRb</t>
  </si>
  <si>
    <t>Impact Speed</t>
  </si>
  <si>
    <t>Can identify slower walking pedestrian (CPNA-75)</t>
  </si>
  <si>
    <t>CCRm (prediction x correction factor)</t>
  </si>
  <si>
    <t>CPLA</t>
  </si>
  <si>
    <t>CBLA</t>
  </si>
  <si>
    <t>Overtaking vehicle (GVT @ 72km/h)</t>
  </si>
  <si>
    <t>Overtaking vehicle (GVT @ 80km/h)</t>
  </si>
  <si>
    <t>CCRs (prediction x correction factor)</t>
  </si>
  <si>
    <t>AEB CAR-TO-CAR</t>
  </si>
  <si>
    <t>System switches off below 130 km/h</t>
  </si>
  <si>
    <t>TOTAL AEB CAR-TO-CAR</t>
  </si>
  <si>
    <t>AEB Car-to-Car</t>
  </si>
  <si>
    <t xml:space="preserve">FITMENT
</t>
  </si>
  <si>
    <t xml:space="preserve">PERFORMANCE
</t>
  </si>
  <si>
    <t>OSM</t>
  </si>
  <si>
    <t>Occupant Status Monitoring</t>
  </si>
  <si>
    <t>TOTAL OCCUPANT STATUS MONITORING</t>
  </si>
  <si>
    <t>SEAT BELT REMINDER</t>
  </si>
  <si>
    <t>DRIVER MONITORING</t>
  </si>
  <si>
    <t>Driver Monitoring assessment</t>
  </si>
  <si>
    <t>Attention Assist</t>
  </si>
  <si>
    <t>OSM test</t>
  </si>
  <si>
    <t>AEB FITMENT</t>
  </si>
  <si>
    <t>AEB PEDESTRIAN</t>
  </si>
  <si>
    <t>AEB CYCLIST</t>
  </si>
  <si>
    <t>Germany</t>
  </si>
  <si>
    <t>France</t>
  </si>
  <si>
    <t>Italy</t>
  </si>
  <si>
    <t>Spain</t>
  </si>
  <si>
    <t>United Kingdom</t>
  </si>
  <si>
    <t>Sweden</t>
  </si>
  <si>
    <t>Luxembourg</t>
  </si>
  <si>
    <t>The Netherlands</t>
  </si>
  <si>
    <t>AEB FITMENT SUMMARY</t>
  </si>
  <si>
    <t>LSS FITMENT</t>
  </si>
  <si>
    <t>LDW</t>
  </si>
  <si>
    <t>BLIS</t>
  </si>
  <si>
    <t>SAS FITMENT</t>
  </si>
  <si>
    <t>SLIF</t>
  </si>
  <si>
    <t>SCF</t>
  </si>
  <si>
    <t>OSM FITMENT</t>
  </si>
  <si>
    <t>SBR - Driver</t>
  </si>
  <si>
    <t>SBR - Passenger</t>
  </si>
  <si>
    <t>LSS FITMENT SUMMARY</t>
  </si>
  <si>
    <t>SAS FITMENT SUMMARY</t>
  </si>
  <si>
    <t>OSM FITMENT SUMMARY</t>
  </si>
  <si>
    <t>FITMENT</t>
  </si>
  <si>
    <t>ELK/LKA</t>
  </si>
  <si>
    <t>Attention Assist fitment</t>
  </si>
  <si>
    <t>Test weight (kg)</t>
  </si>
  <si>
    <t>NO</t>
  </si>
  <si>
    <t>Red</t>
  </si>
  <si>
    <t>Green</t>
  </si>
  <si>
    <t>Orange</t>
  </si>
  <si>
    <t>Brown</t>
  </si>
  <si>
    <t>Yellow</t>
  </si>
  <si>
    <t>best fitment</t>
  </si>
  <si>
    <t>Monocoque</t>
  </si>
  <si>
    <t>Type Approval</t>
  </si>
  <si>
    <t>VIN of test vehicle</t>
  </si>
  <si>
    <t>Gross Vehicle Weight(kg)</t>
  </si>
  <si>
    <t>Tested Variant</t>
  </si>
  <si>
    <t>Chassis</t>
  </si>
  <si>
    <t>Maximum Payload</t>
  </si>
  <si>
    <t>Generation</t>
  </si>
  <si>
    <t>Verdict</t>
  </si>
  <si>
    <t>Comment</t>
  </si>
  <si>
    <t>text</t>
  </si>
  <si>
    <t>Full Tested Vehicle</t>
  </si>
  <si>
    <t>Rating/grading</t>
  </si>
  <si>
    <t>platinum - gold - silver - bronze - not recommended</t>
  </si>
  <si>
    <t>Safety Assist Performance score</t>
  </si>
  <si>
    <t>%</t>
  </si>
  <si>
    <t>Specification</t>
  </si>
  <si>
    <t>Body type</t>
  </si>
  <si>
    <t>Category</t>
  </si>
  <si>
    <t>N1 - N2</t>
  </si>
  <si>
    <t>Kerb weight</t>
  </si>
  <si>
    <t>number</t>
  </si>
  <si>
    <t>Test weight</t>
  </si>
  <si>
    <t>Applies to</t>
  </si>
  <si>
    <t>x generation</t>
  </si>
  <si>
    <t>Safety equipment</t>
  </si>
  <si>
    <t>standard/optional/not available</t>
  </si>
  <si>
    <t>Safety Assist Performance Details</t>
  </si>
  <si>
    <t>AEB Car-to-Car - score</t>
  </si>
  <si>
    <t>number - 1 decimal</t>
  </si>
  <si>
    <t>AEB Car-to-Car - colour</t>
  </si>
  <si>
    <t>Green - Yellow - Orange - Brown - Red</t>
  </si>
  <si>
    <t>AEB_Type</t>
  </si>
  <si>
    <t>AEB_Operational from</t>
  </si>
  <si>
    <t>Autobrake function only</t>
  </si>
  <si>
    <t>AFO_Approaching a stationary car - right overlap</t>
  </si>
  <si>
    <t>AFO_Approaching a stationary car - no overlap</t>
  </si>
  <si>
    <t>AFO_Approaching a stationary car - left overlap</t>
  </si>
  <si>
    <t>AFO_Approaching a slower moving car - right overlap</t>
  </si>
  <si>
    <t>AFO_Approaching a slower moving car - no overlap</t>
  </si>
  <si>
    <t>AFO_Approaching a slower moving car - left overlap</t>
  </si>
  <si>
    <t>AFO_Approaching a braking car</t>
  </si>
  <si>
    <t>Driver Reacts to Warning</t>
  </si>
  <si>
    <t>DRW_Approaching a stationary car - right overlap</t>
  </si>
  <si>
    <t>DRW_Approaching a stationary car - no overlap</t>
  </si>
  <si>
    <t>DRW_Approaching a stationary car - left overlap</t>
  </si>
  <si>
    <t>DRW_Approaching a slower moving car - right overlap</t>
  </si>
  <si>
    <t>DRW_Approaching a slower moving car - no overlap</t>
  </si>
  <si>
    <t>DRW_Approaching a slower moving car - left overlap</t>
  </si>
  <si>
    <t>DRW_Approaching a braking car</t>
  </si>
  <si>
    <t>AEB Pedestrian - score</t>
  </si>
  <si>
    <t>AEB Pedestrian - colour</t>
  </si>
  <si>
    <t>Adult crossing the road</t>
  </si>
  <si>
    <t>Child running from behind parked vehicles</t>
  </si>
  <si>
    <t>Adult along the roadside</t>
  </si>
  <si>
    <t>AEB Cyclist - score</t>
  </si>
  <si>
    <t>AEB Cyclist - colour</t>
  </si>
  <si>
    <t>Cyclist crossing</t>
  </si>
  <si>
    <t>Cyclist along the roadside</t>
  </si>
  <si>
    <t>Speed assistance - score</t>
  </si>
  <si>
    <t>Speed assistance - colour</t>
  </si>
  <si>
    <t>SA_Speed limit information function</t>
  </si>
  <si>
    <t>SA_Speed limitation function</t>
  </si>
  <si>
    <t>OSM - score</t>
  </si>
  <si>
    <t>OSM - colour</t>
  </si>
  <si>
    <t>OSM_Attention Assist Driver</t>
  </si>
  <si>
    <t>OSM_Driver seat - visual</t>
  </si>
  <si>
    <t>OSM_Driver seat - audible</t>
  </si>
  <si>
    <t>OSM_Front Passenger - visual</t>
  </si>
  <si>
    <t>OSM_Front Passenger - audible</t>
  </si>
  <si>
    <t>OSM_Front Passenger - occupant detection</t>
  </si>
  <si>
    <t>Lane Support - score</t>
  </si>
  <si>
    <t>Lane Support - colour</t>
  </si>
  <si>
    <t>LSS_Type</t>
  </si>
  <si>
    <t>LSS_Operational from</t>
  </si>
  <si>
    <t>LSS_Emergency lane keeping</t>
  </si>
  <si>
    <t>LSS_Lane Departure Warning</t>
  </si>
  <si>
    <t>LSS_Blind Spot Information System</t>
  </si>
  <si>
    <t>Fitment</t>
  </si>
  <si>
    <t>AEB Car-to-Car_FR</t>
  </si>
  <si>
    <t>AEB Car-to-Car_DE</t>
  </si>
  <si>
    <t>AEB Car-to-Car_IT</t>
  </si>
  <si>
    <t>AEB Car-to-Car_LU</t>
  </si>
  <si>
    <t>AEB Car-to-Car_ES</t>
  </si>
  <si>
    <t>AEB Car-to-Car_NL</t>
  </si>
  <si>
    <t>AEB Pedestrian_FR</t>
  </si>
  <si>
    <t>AEB Pedestrian_DE</t>
  </si>
  <si>
    <t>AEB Pedestrian_IT</t>
  </si>
  <si>
    <t>AEB Pedestrian_LU</t>
  </si>
  <si>
    <t>AEB Pedestrian_ES</t>
  </si>
  <si>
    <t>AEB Pedestrian_NL</t>
  </si>
  <si>
    <t>AEB Cyclist_FR</t>
  </si>
  <si>
    <t>AEB Cyclist_DE</t>
  </si>
  <si>
    <t>AEB Cyclist_IT</t>
  </si>
  <si>
    <t>AEB Cyclist_LU</t>
  </si>
  <si>
    <t>AEB Cyclist_ES</t>
  </si>
  <si>
    <t>AEB Cyclist_NL</t>
  </si>
  <si>
    <t>LSS_ELK/LKA_FR</t>
  </si>
  <si>
    <t>LSS_ELK/LKA_DE</t>
  </si>
  <si>
    <t>LSS_ELK/LKA_IT</t>
  </si>
  <si>
    <t>LSS_ELK/LKA_LU</t>
  </si>
  <si>
    <t>LSS_ELK/LKA_ES</t>
  </si>
  <si>
    <t>LSS_ELK/LKA_NL</t>
  </si>
  <si>
    <t>LSS_LDW_FR</t>
  </si>
  <si>
    <t>LSS_LDW_DE</t>
  </si>
  <si>
    <t>LSS_LDW_IT</t>
  </si>
  <si>
    <t>LSS_LDW_LU</t>
  </si>
  <si>
    <t>LSS_LDW_ES</t>
  </si>
  <si>
    <t>LSS_LDW_NL</t>
  </si>
  <si>
    <t>LSS_BLIS_FR</t>
  </si>
  <si>
    <t>LSS_BLIS_DE</t>
  </si>
  <si>
    <t>LSS_BLIS_IT</t>
  </si>
  <si>
    <t>LSS_BLIS_LU</t>
  </si>
  <si>
    <t>LSS_BLIS_ES</t>
  </si>
  <si>
    <t>LSS_BLIS_NL</t>
  </si>
  <si>
    <t>SA_SLIF_FR</t>
  </si>
  <si>
    <t>SA_SLIF_DE</t>
  </si>
  <si>
    <t>SA_SLIF_IT</t>
  </si>
  <si>
    <t>SA_SLIF_LU</t>
  </si>
  <si>
    <t>SA_SLIF_ES</t>
  </si>
  <si>
    <t>SA_SLIF_NL</t>
  </si>
  <si>
    <t>SA_SCF_FR</t>
  </si>
  <si>
    <t>SA_SCF_DE</t>
  </si>
  <si>
    <t>SA_SCF_IT</t>
  </si>
  <si>
    <t>SA_SCF_LU</t>
  </si>
  <si>
    <t>SA_SCF_ES</t>
  </si>
  <si>
    <t>SA_SCF_NL</t>
  </si>
  <si>
    <t>OSM_SBR Driver_FR</t>
  </si>
  <si>
    <t>OSM_SBR Driver_DE</t>
  </si>
  <si>
    <t>OSM_SBR Driver_IT</t>
  </si>
  <si>
    <t>OSM_SBR Driver_LU</t>
  </si>
  <si>
    <t>OSM_SBR Driver_ES</t>
  </si>
  <si>
    <t>OSM_SBR Driver_NL</t>
  </si>
  <si>
    <t>OSM_SBR Passenger_FR</t>
  </si>
  <si>
    <t>OSM_SBR Passenger_DE</t>
  </si>
  <si>
    <t>OSM_SBR Passenger_IT</t>
  </si>
  <si>
    <t>OSM_SBR Passenger_LU</t>
  </si>
  <si>
    <t>OSM_SBR Passenger_ES</t>
  </si>
  <si>
    <t>OSM_SBR Passenger_NL</t>
  </si>
  <si>
    <t>OSM_Attention Assist_FR</t>
  </si>
  <si>
    <t>OSM_Attention Assist_DE</t>
  </si>
  <si>
    <t>OSM_Attention Assist_IT</t>
  </si>
  <si>
    <t>OSM_Attention Assist_LU</t>
  </si>
  <si>
    <t>OSM_Attention Assist_ES</t>
  </si>
  <si>
    <t>OSM_Attention Assist_NL</t>
  </si>
  <si>
    <t>pass/fail/not available</t>
  </si>
  <si>
    <t>All N1 Variants</t>
  </si>
  <si>
    <t>Country</t>
  </si>
  <si>
    <t>PASSIVE SAFETY</t>
  </si>
  <si>
    <t>ACTIVE SAFETY</t>
  </si>
  <si>
    <t>OTHER</t>
  </si>
  <si>
    <t>Centre</t>
  </si>
  <si>
    <t>Passenger</t>
  </si>
  <si>
    <t>Dr &amp; Pass</t>
  </si>
  <si>
    <t>Lane Support</t>
  </si>
  <si>
    <t>Occupant Status</t>
  </si>
  <si>
    <t>Speed Assistance</t>
  </si>
  <si>
    <t>CODE</t>
  </si>
  <si>
    <t>Load-
Limiter</t>
  </si>
  <si>
    <t>Pre-
Tensioner</t>
  </si>
  <si>
    <t>Airbag</t>
  </si>
  <si>
    <t>Side
Curtain AB</t>
  </si>
  <si>
    <t>Centre
Airbag</t>
  </si>
  <si>
    <t>Car-to-Car</t>
  </si>
  <si>
    <t>Pedestrian</t>
  </si>
  <si>
    <t>Cyclist</t>
  </si>
  <si>
    <t>Lane Keep
Assist</t>
  </si>
  <si>
    <t>Lane Dep.
Warning</t>
  </si>
  <si>
    <t>Blind-spot
Information</t>
  </si>
  <si>
    <t>Attention
Assist</t>
  </si>
  <si>
    <t>Direct Dr
Monitoring</t>
  </si>
  <si>
    <t>SBR
Driver</t>
  </si>
  <si>
    <t>SBR
Centre</t>
  </si>
  <si>
    <t>SBR
Passenger</t>
  </si>
  <si>
    <t>Speed
Limiter</t>
  </si>
  <si>
    <t>Speed Limit
Information</t>
  </si>
  <si>
    <t>Alcolock
Interface</t>
  </si>
  <si>
    <t>AD Highway
Assist</t>
  </si>
  <si>
    <t>Austria</t>
  </si>
  <si>
    <t>AT</t>
  </si>
  <si>
    <t>Std</t>
  </si>
  <si>
    <t>Opt1</t>
  </si>
  <si>
    <t>N/A</t>
  </si>
  <si>
    <t>Belgium</t>
  </si>
  <si>
    <t>BE</t>
  </si>
  <si>
    <t>Bulgaria</t>
  </si>
  <si>
    <t>BG</t>
  </si>
  <si>
    <t>Croatia</t>
  </si>
  <si>
    <t>HR</t>
  </si>
  <si>
    <t>Cyprus</t>
  </si>
  <si>
    <t>CY</t>
  </si>
  <si>
    <t>Czech Republic</t>
  </si>
  <si>
    <t>CZ</t>
  </si>
  <si>
    <t>Denmark</t>
  </si>
  <si>
    <t>DK</t>
  </si>
  <si>
    <t>Estonia</t>
  </si>
  <si>
    <t>EE</t>
  </si>
  <si>
    <t>Finland</t>
  </si>
  <si>
    <t>FI</t>
  </si>
  <si>
    <t>FR</t>
  </si>
  <si>
    <t>DE</t>
  </si>
  <si>
    <t>Greece</t>
  </si>
  <si>
    <t>GR</t>
  </si>
  <si>
    <t>Hungary</t>
  </si>
  <si>
    <t>HU</t>
  </si>
  <si>
    <t>Ireland</t>
  </si>
  <si>
    <t>IE</t>
  </si>
  <si>
    <t>IT</t>
  </si>
  <si>
    <t>Latvia</t>
  </si>
  <si>
    <t>LV</t>
  </si>
  <si>
    <t>Lithuania</t>
  </si>
  <si>
    <t>LT</t>
  </si>
  <si>
    <t>LU</t>
  </si>
  <si>
    <t>Malta</t>
  </si>
  <si>
    <t>MT</t>
  </si>
  <si>
    <t>Netherlands</t>
  </si>
  <si>
    <t>NL</t>
  </si>
  <si>
    <t>Poland</t>
  </si>
  <si>
    <t>PL</t>
  </si>
  <si>
    <t>Portugal</t>
  </si>
  <si>
    <t>PT</t>
  </si>
  <si>
    <t>Romania</t>
  </si>
  <si>
    <t>RO</t>
  </si>
  <si>
    <t>Slovakia</t>
  </si>
  <si>
    <t>SK</t>
  </si>
  <si>
    <t>Slovenia</t>
  </si>
  <si>
    <t>SI</t>
  </si>
  <si>
    <t>ES</t>
  </si>
  <si>
    <t>SE</t>
  </si>
  <si>
    <t>GB</t>
  </si>
  <si>
    <t>Data should be provided for N1 variants only.</t>
  </si>
  <si>
    <t>Standard fitment on all N1 variants of the model range.  It is not possible to buy an N1 variant without this item of safety equipment</t>
  </si>
  <si>
    <t>Opt2</t>
  </si>
  <si>
    <t>This item of safety equipment is not available, either as standard or as an option, on any N1 variant in the model range</t>
  </si>
  <si>
    <t>Europe</t>
  </si>
  <si>
    <t>AEB Car-to-Car_AT</t>
  </si>
  <si>
    <t>AEB Car-to-Car_BE</t>
  </si>
  <si>
    <t>AEB Car-to-Car_BG</t>
  </si>
  <si>
    <t>AEB Car-to-Car_HR</t>
  </si>
  <si>
    <t>AEB Car-to-Car_CY</t>
  </si>
  <si>
    <t>AEB Car-to-Car_CZ</t>
  </si>
  <si>
    <t>AEB Car-to-Car_DK</t>
  </si>
  <si>
    <t>AEB Car-to-Car_EE</t>
  </si>
  <si>
    <t>AEB Car-to-Car_FI</t>
  </si>
  <si>
    <t>AEB Car-to-Car_GR</t>
  </si>
  <si>
    <t>AEB Car-to-Car_HU</t>
  </si>
  <si>
    <t>AEB Car-to-Car_IE</t>
  </si>
  <si>
    <t>AEB Car-to-Car_LV</t>
  </si>
  <si>
    <t>AEB Car-to-Car_LT</t>
  </si>
  <si>
    <t>AEB Car-to-Car_MT</t>
  </si>
  <si>
    <t>AEB Car-to-Car_PL</t>
  </si>
  <si>
    <t>AEB Car-to-Car_PT</t>
  </si>
  <si>
    <t>AEB Car-to-Car_RO</t>
  </si>
  <si>
    <t>AEB Car-to-Car_SK</t>
  </si>
  <si>
    <t>AEB Car-to-Car_SI</t>
  </si>
  <si>
    <t>AEB Car-to-Car_SE</t>
  </si>
  <si>
    <t>AEB Car-to-Car_GB</t>
  </si>
  <si>
    <t>AEB Pedestrian_AT</t>
  </si>
  <si>
    <t>AEB Pedestrian_BE</t>
  </si>
  <si>
    <t>AEB Pedestrian_BG</t>
  </si>
  <si>
    <t>AEB Pedestrian_HR</t>
  </si>
  <si>
    <t>AEB Pedestrian_CY</t>
  </si>
  <si>
    <t>AEB Pedestrian_CZ</t>
  </si>
  <si>
    <t>AEB Pedestrian_DK</t>
  </si>
  <si>
    <t>AEB Pedestrian_EE</t>
  </si>
  <si>
    <t>AEB Pedestrian_FI</t>
  </si>
  <si>
    <t>AEB Pedestrian_GR</t>
  </si>
  <si>
    <t>AEB Pedestrian_HU</t>
  </si>
  <si>
    <t>AEB Pedestrian_IE</t>
  </si>
  <si>
    <t>AEB Pedestrian_LV</t>
  </si>
  <si>
    <t>AEB Pedestrian_LT</t>
  </si>
  <si>
    <t>AEB Pedestrian_MT</t>
  </si>
  <si>
    <t>AEB Pedestrian_PL</t>
  </si>
  <si>
    <t>AEB Pedestrian_PT</t>
  </si>
  <si>
    <t>AEB Pedestrian_RO</t>
  </si>
  <si>
    <t>AEB Pedestrian_SK</t>
  </si>
  <si>
    <t>AEB Pedestrian_SI</t>
  </si>
  <si>
    <t>AEB Pedestrian_SE</t>
  </si>
  <si>
    <t>AEB Pedestrian_GB</t>
  </si>
  <si>
    <t>AEB Cyclist_AT</t>
  </si>
  <si>
    <t>AEB Cyclist_BE</t>
  </si>
  <si>
    <t>AEB Cyclist_BG</t>
  </si>
  <si>
    <t>AEB Cyclist_HR</t>
  </si>
  <si>
    <t>AEB Cyclist_CY</t>
  </si>
  <si>
    <t>AEB Cyclist_CZ</t>
  </si>
  <si>
    <t>AEB Cyclist_DK</t>
  </si>
  <si>
    <t>AEB Cyclist_EE</t>
  </si>
  <si>
    <t>AEB Cyclist_FI</t>
  </si>
  <si>
    <t>AEB Cyclist_GR</t>
  </si>
  <si>
    <t>AEB Cyclist_HU</t>
  </si>
  <si>
    <t>AEB Cyclist_IE</t>
  </si>
  <si>
    <t>AEB Cyclist_LV</t>
  </si>
  <si>
    <t>AEB Cyclist_LT</t>
  </si>
  <si>
    <t>AEB Cyclist_MT</t>
  </si>
  <si>
    <t>AEB Cyclist_PL</t>
  </si>
  <si>
    <t>AEB Cyclist_PT</t>
  </si>
  <si>
    <t>AEB Cyclist_RO</t>
  </si>
  <si>
    <t>AEB Cyclist_SK</t>
  </si>
  <si>
    <t>AEB Cyclist_SI</t>
  </si>
  <si>
    <t>AEB Cyclist_SE</t>
  </si>
  <si>
    <t>AEB Cyclist_GB</t>
  </si>
  <si>
    <t>LSS_ELK/LKA_AT</t>
  </si>
  <si>
    <t>LSS_ELK/LKA_BE</t>
  </si>
  <si>
    <t>LSS_ELK/LKA_BG</t>
  </si>
  <si>
    <t>LSS_ELK/LKA_HR</t>
  </si>
  <si>
    <t>LSS_ELK/LKA_CY</t>
  </si>
  <si>
    <t>LSS_ELK/LKA_CZ</t>
  </si>
  <si>
    <t>LSS_ELK/LKA_DK</t>
  </si>
  <si>
    <t>LSS_ELK/LKA_EE</t>
  </si>
  <si>
    <t>LSS_ELK/LKA_FI</t>
  </si>
  <si>
    <t>LSS_ELK/LKA_GR</t>
  </si>
  <si>
    <t>LSS_ELK/LKA_HU</t>
  </si>
  <si>
    <t>LSS_ELK/LKA_IE</t>
  </si>
  <si>
    <t>LSS_ELK/LKA_LV</t>
  </si>
  <si>
    <t>LSS_ELK/LKA_LT</t>
  </si>
  <si>
    <t>LSS_ELK/LKA_MT</t>
  </si>
  <si>
    <t>LSS_ELK/LKA_PL</t>
  </si>
  <si>
    <t>LSS_ELK/LKA_PT</t>
  </si>
  <si>
    <t>LSS_ELK/LKA_RO</t>
  </si>
  <si>
    <t>LSS_ELK/LKA_SK</t>
  </si>
  <si>
    <t>LSS_ELK/LKA_SI</t>
  </si>
  <si>
    <t>LSS_ELK/LKA_SE</t>
  </si>
  <si>
    <t>LSS_ELK/LKA_GB</t>
  </si>
  <si>
    <t>LSS_LDW_AT</t>
  </si>
  <si>
    <t>LSS_LDW_BE</t>
  </si>
  <si>
    <t>LSS_LDW_BG</t>
  </si>
  <si>
    <t>LSS_LDW_HR</t>
  </si>
  <si>
    <t>LSS_LDW_CY</t>
  </si>
  <si>
    <t>LSS_LDW_CZ</t>
  </si>
  <si>
    <t>LSS_LDW_DK</t>
  </si>
  <si>
    <t>LSS_LDW_EE</t>
  </si>
  <si>
    <t>LSS_LDW_FI</t>
  </si>
  <si>
    <t>LSS_LDW_GR</t>
  </si>
  <si>
    <t>LSS_LDW_HU</t>
  </si>
  <si>
    <t>LSS_LDW_IE</t>
  </si>
  <si>
    <t>LSS_LDW_LV</t>
  </si>
  <si>
    <t>LSS_LDW_LT</t>
  </si>
  <si>
    <t>LSS_LDW_MT</t>
  </si>
  <si>
    <t>LSS_LDW_PL</t>
  </si>
  <si>
    <t>LSS_LDW_PT</t>
  </si>
  <si>
    <t>LSS_LDW_RO</t>
  </si>
  <si>
    <t>LSS_LDW_SK</t>
  </si>
  <si>
    <t>LSS_LDW_SI</t>
  </si>
  <si>
    <t>LSS_LDW_SE</t>
  </si>
  <si>
    <t>LSS_LDW_GB</t>
  </si>
  <si>
    <t>LSS_BLIS_AT</t>
  </si>
  <si>
    <t>LSS_BLIS_BE</t>
  </si>
  <si>
    <t>LSS_BLIS_BG</t>
  </si>
  <si>
    <t>LSS_BLIS_HR</t>
  </si>
  <si>
    <t>LSS_BLIS_CY</t>
  </si>
  <si>
    <t>LSS_BLIS_CZ</t>
  </si>
  <si>
    <t>LSS_BLIS_DK</t>
  </si>
  <si>
    <t>LSS_BLIS_EE</t>
  </si>
  <si>
    <t>LSS_BLIS_FI</t>
  </si>
  <si>
    <t>LSS_BLIS_GR</t>
  </si>
  <si>
    <t>LSS_BLIS_HU</t>
  </si>
  <si>
    <t>LSS_BLIS_IE</t>
  </si>
  <si>
    <t>LSS_BLIS_LV</t>
  </si>
  <si>
    <t>LSS_BLIS_LT</t>
  </si>
  <si>
    <t>LSS_BLIS_MT</t>
  </si>
  <si>
    <t>LSS_BLIS_PL</t>
  </si>
  <si>
    <t>LSS_BLIS_PT</t>
  </si>
  <si>
    <t>LSS_BLIS_RO</t>
  </si>
  <si>
    <t>LSS_BLIS_SK</t>
  </si>
  <si>
    <t>LSS_BLIS_SI</t>
  </si>
  <si>
    <t>LSS_BLIS_SE</t>
  </si>
  <si>
    <t>LSS_BLIS_GB</t>
  </si>
  <si>
    <t>SA_SLIF_AT</t>
  </si>
  <si>
    <t>SA_SLIF_BE</t>
  </si>
  <si>
    <t>SA_SLIF_BG</t>
  </si>
  <si>
    <t>SA_SLIF_HR</t>
  </si>
  <si>
    <t>SA_SLIF_CY</t>
  </si>
  <si>
    <t>SA_SLIF_CZ</t>
  </si>
  <si>
    <t>SA_SLIF_DK</t>
  </si>
  <si>
    <t>SA_SLIF_EE</t>
  </si>
  <si>
    <t>SA_SLIF_FI</t>
  </si>
  <si>
    <t>SA_SLIF_GR</t>
  </si>
  <si>
    <t>SA_SLIF_HU</t>
  </si>
  <si>
    <t>SA_SLIF_IE</t>
  </si>
  <si>
    <t>SA_SLIF_LV</t>
  </si>
  <si>
    <t>SA_SLIF_LT</t>
  </si>
  <si>
    <t>SA_SLIF_MT</t>
  </si>
  <si>
    <t>SA_SLIF_PL</t>
  </si>
  <si>
    <t>SA_SLIF_PT</t>
  </si>
  <si>
    <t>SA_SLIF_RO</t>
  </si>
  <si>
    <t>SA_SLIF_SK</t>
  </si>
  <si>
    <t>SA_SLIF_SI</t>
  </si>
  <si>
    <t>SA_SLIF_SE</t>
  </si>
  <si>
    <t>SA_SLIF_GB</t>
  </si>
  <si>
    <t>SA_SCF_AT</t>
  </si>
  <si>
    <t>SA_SCF_BE</t>
  </si>
  <si>
    <t>SA_SCF_BG</t>
  </si>
  <si>
    <t>SA_SCF_HR</t>
  </si>
  <si>
    <t>SA_SCF_CY</t>
  </si>
  <si>
    <t>SA_SCF_CZ</t>
  </si>
  <si>
    <t>SA_SCF_DK</t>
  </si>
  <si>
    <t>SA_SCF_EE</t>
  </si>
  <si>
    <t>SA_SCF_FI</t>
  </si>
  <si>
    <t>SA_SCF_GR</t>
  </si>
  <si>
    <t>SA_SCF_HU</t>
  </si>
  <si>
    <t>SA_SCF_IE</t>
  </si>
  <si>
    <t>SA_SCF_LV</t>
  </si>
  <si>
    <t>SA_SCF_LT</t>
  </si>
  <si>
    <t>SA_SCF_MT</t>
  </si>
  <si>
    <t>SA_SCF_PL</t>
  </si>
  <si>
    <t>SA_SCF_PT</t>
  </si>
  <si>
    <t>SA_SCF_RO</t>
  </si>
  <si>
    <t>SA_SCF_SK</t>
  </si>
  <si>
    <t>SA_SCF_SI</t>
  </si>
  <si>
    <t>SA_SCF_SE</t>
  </si>
  <si>
    <t>SA_SCF_GB</t>
  </si>
  <si>
    <t>OSM_SBR Driver_AT</t>
  </si>
  <si>
    <t>OSM_SBR Driver_BE</t>
  </si>
  <si>
    <t>OSM_SBR Driver_BG</t>
  </si>
  <si>
    <t>OSM_SBR Driver_HR</t>
  </si>
  <si>
    <t>OSM_SBR Driver_CY</t>
  </si>
  <si>
    <t>OSM_SBR Driver_CZ</t>
  </si>
  <si>
    <t>OSM_SBR Driver_DK</t>
  </si>
  <si>
    <t>OSM_SBR Driver_EE</t>
  </si>
  <si>
    <t>OSM_SBR Driver_FI</t>
  </si>
  <si>
    <t>OSM_SBR Driver_GR</t>
  </si>
  <si>
    <t>OSM_SBR Driver_HU</t>
  </si>
  <si>
    <t>OSM_SBR Driver_IE</t>
  </si>
  <si>
    <t>OSM_SBR Driver_LV</t>
  </si>
  <si>
    <t>OSM_SBR Driver_LT</t>
  </si>
  <si>
    <t>OSM_SBR Driver_MT</t>
  </si>
  <si>
    <t>OSM_SBR Driver_PL</t>
  </si>
  <si>
    <t>OSM_SBR Driver_PT</t>
  </si>
  <si>
    <t>OSM_SBR Driver_RO</t>
  </si>
  <si>
    <t>OSM_SBR Driver_SK</t>
  </si>
  <si>
    <t>OSM_SBR Driver_SI</t>
  </si>
  <si>
    <t>OSM_SBR Driver_SE</t>
  </si>
  <si>
    <t>OSM_SBR Driver_GB</t>
  </si>
  <si>
    <t>OSM_SBR Passenger_AT</t>
  </si>
  <si>
    <t>OSM_SBR Passenger_BE</t>
  </si>
  <si>
    <t>OSM_SBR Passenger_BG</t>
  </si>
  <si>
    <t>OSM_SBR Passenger_HR</t>
  </si>
  <si>
    <t>OSM_SBR Passenger_CY</t>
  </si>
  <si>
    <t>OSM_SBR Passenger_CZ</t>
  </si>
  <si>
    <t>OSM_SBR Passenger_DK</t>
  </si>
  <si>
    <t>OSM_SBR Passenger_EE</t>
  </si>
  <si>
    <t>OSM_SBR Passenger_FI</t>
  </si>
  <si>
    <t>OSM_SBR Passenger_GR</t>
  </si>
  <si>
    <t>OSM_SBR Passenger_HU</t>
  </si>
  <si>
    <t>OSM_SBR Passenger_IE</t>
  </si>
  <si>
    <t>OSM_SBR Passenger_LV</t>
  </si>
  <si>
    <t>OSM_SBR Passenger_LT</t>
  </si>
  <si>
    <t>OSM_SBR Passenger_MT</t>
  </si>
  <si>
    <t>OSM_SBR Passenger_PL</t>
  </si>
  <si>
    <t>OSM_SBR Passenger_PT</t>
  </si>
  <si>
    <t>OSM_SBR Passenger_RO</t>
  </si>
  <si>
    <t>OSM_SBR Passenger_SK</t>
  </si>
  <si>
    <t>OSM_SBR Passenger_SI</t>
  </si>
  <si>
    <t>OSM_SBR Passenger_SE</t>
  </si>
  <si>
    <t>OSM_SBR Passenger_GB</t>
  </si>
  <si>
    <t>OSM_Attention Assist_AT</t>
  </si>
  <si>
    <t>OSM_Attention Assist_BE</t>
  </si>
  <si>
    <t>OSM_Attention Assist_BG</t>
  </si>
  <si>
    <t>OSM_Attention Assist_HR</t>
  </si>
  <si>
    <t>OSM_Attention Assist_CY</t>
  </si>
  <si>
    <t>OSM_Attention Assist_CZ</t>
  </si>
  <si>
    <t>OSM_Attention Assist_DK</t>
  </si>
  <si>
    <t>OSM_Attention Assist_EE</t>
  </si>
  <si>
    <t>OSM_Attention Assist_FI</t>
  </si>
  <si>
    <t>OSM_Attention Assist_GR</t>
  </si>
  <si>
    <t>OSM_Attention Assist_HU</t>
  </si>
  <si>
    <t>OSM_Attention Assist_IE</t>
  </si>
  <si>
    <t>OSM_Attention Assist_LV</t>
  </si>
  <si>
    <t>OSM_Attention Assist_LT</t>
  </si>
  <si>
    <t>OSM_Attention Assist_MT</t>
  </si>
  <si>
    <t>OSM_Attention Assist_PL</t>
  </si>
  <si>
    <t>OSM_Attention Assist_PT</t>
  </si>
  <si>
    <t>OSM_Attention Assist_RO</t>
  </si>
  <si>
    <t>OSM_Attention Assist_SK</t>
  </si>
  <si>
    <t>OSM_Attention Assist_SI</t>
  </si>
  <si>
    <t>OSM_Attention Assist_SE</t>
  </si>
  <si>
    <t>OSM_Attention Assist_GB</t>
  </si>
  <si>
    <t>VERIFICATION TESTS</t>
  </si>
  <si>
    <t>Testpoint</t>
  </si>
  <si>
    <t>Prediction</t>
  </si>
  <si>
    <r>
      <t>V</t>
    </r>
    <r>
      <rPr>
        <vertAlign val="subscript"/>
        <sz val="9"/>
        <rFont val="Calibri"/>
        <family val="2"/>
      </rPr>
      <t>impact</t>
    </r>
  </si>
  <si>
    <t>ESS</t>
  </si>
  <si>
    <t>Total</t>
  </si>
  <si>
    <t>Correction factor</t>
  </si>
  <si>
    <t>New</t>
  </si>
  <si>
    <t>CCFtap</t>
  </si>
  <si>
    <t>Testpoints CCFtap</t>
  </si>
  <si>
    <t>Test speed</t>
  </si>
  <si>
    <t>GVT speed</t>
  </si>
  <si>
    <t>30 km/h</t>
  </si>
  <si>
    <t>45 km/h</t>
  </si>
  <si>
    <t>55 km/h</t>
  </si>
  <si>
    <t>10 km/h</t>
  </si>
  <si>
    <t>15 km/h</t>
  </si>
  <si>
    <t>20 km/h</t>
  </si>
  <si>
    <t>CCFtap RESULT</t>
  </si>
  <si>
    <t>Center line</t>
  </si>
  <si>
    <t>Center &amp; Dashed line</t>
  </si>
  <si>
    <t>Center &amp; Solid line</t>
  </si>
  <si>
    <t>Solid Line assessment</t>
  </si>
  <si>
    <t>LKA assessment</t>
  </si>
  <si>
    <t>Map update</t>
  </si>
  <si>
    <t>CBFA</t>
  </si>
  <si>
    <t>CBFA RESULT</t>
  </si>
  <si>
    <t>CBNAO</t>
  </si>
  <si>
    <t>CBNAO RESULT</t>
  </si>
  <si>
    <t>Night-time</t>
  </si>
  <si>
    <t>CPTA-50</t>
  </si>
  <si>
    <t>Farside turn</t>
  </si>
  <si>
    <t>Nearside turn</t>
  </si>
  <si>
    <t>CPTA-50 RESULT</t>
  </si>
  <si>
    <t>CPRA</t>
  </si>
  <si>
    <t>Stationary</t>
  </si>
  <si>
    <t>Moving</t>
  </si>
  <si>
    <t>4 km/h reverse</t>
  </si>
  <si>
    <t>hitpoint @ 25%</t>
  </si>
  <si>
    <t>hitpoint @ 50%</t>
  </si>
  <si>
    <t>hitpoint @ 75%</t>
  </si>
  <si>
    <t>8 km/h reverse</t>
  </si>
  <si>
    <t>CPRA RESULT</t>
  </si>
  <si>
    <t>NIGHT-TIME</t>
  </si>
  <si>
    <t>CPTA</t>
  </si>
  <si>
    <t xml:space="preserve"> </t>
  </si>
  <si>
    <t>Speed Assist System</t>
  </si>
  <si>
    <t>General requirements - GSR compliant</t>
  </si>
  <si>
    <t>Warning function</t>
  </si>
  <si>
    <t>Default ON at start of every journey</t>
  </si>
  <si>
    <t>Visual warning in direct field of driver's view</t>
  </si>
  <si>
    <t>General requirements assessment</t>
  </si>
  <si>
    <t>Advanced Functions - Conditional speed limits</t>
  </si>
  <si>
    <t>Conditional speed limits total</t>
  </si>
  <si>
    <t>Advanced Functions - Road features</t>
  </si>
  <si>
    <t>Curves</t>
  </si>
  <si>
    <t>Roundabouts</t>
  </si>
  <si>
    <t>Junctions</t>
  </si>
  <si>
    <t>Traffic lights</t>
  </si>
  <si>
    <t>Stop signs</t>
  </si>
  <si>
    <t>Yield/Give way signs</t>
  </si>
  <si>
    <t>No entry</t>
  </si>
  <si>
    <t>Road features total</t>
  </si>
  <si>
    <t>Advanced Functions - Local hazards</t>
  </si>
  <si>
    <t>Traffic jams</t>
  </si>
  <si>
    <t>Construction zones</t>
  </si>
  <si>
    <t>Accident ahead</t>
  </si>
  <si>
    <t>Wrong way driver</t>
  </si>
  <si>
    <t>Stopped vehicle on hard shoulder</t>
  </si>
  <si>
    <t>Items in road (including animals, people, debris etc.)</t>
  </si>
  <si>
    <t>Poor road conditions (including slippery roads)</t>
  </si>
  <si>
    <t>Poor weather conditions (including fog, heavy rain, etc.)</t>
  </si>
  <si>
    <t>Emergency vehicle</t>
  </si>
  <si>
    <t>Local hazards total</t>
  </si>
  <si>
    <t>Advanced Functions - System updates</t>
  </si>
  <si>
    <t>Continuous</t>
  </si>
  <si>
    <t>System updates total</t>
  </si>
  <si>
    <t>Speed control function type (setting Vadj)</t>
  </si>
  <si>
    <t>Speed control:</t>
  </si>
  <si>
    <t>Speed Assist System 2023</t>
  </si>
  <si>
    <t>Speed Assistance System 2020</t>
  </si>
  <si>
    <t>YES</t>
  </si>
  <si>
    <t>PASS</t>
  </si>
  <si>
    <t>2020</t>
  </si>
  <si>
    <t>No</t>
  </si>
  <si>
    <t>Data</t>
  </si>
  <si>
    <t>from</t>
  </si>
  <si>
    <t>No Data from 2022</t>
  </si>
  <si>
    <t>Toyota</t>
  </si>
  <si>
    <t>PROACE</t>
  </si>
  <si>
    <t>2.0D 90kW Medium Comfort</t>
  </si>
  <si>
    <t>N1</t>
  </si>
  <si>
    <t>YARVFAHK8GZ181559</t>
  </si>
  <si>
    <t>Diesel, 90 kw, 1997 cm3</t>
  </si>
  <si>
    <t>Box van</t>
  </si>
  <si>
    <t>3rd generation 2016 to present</t>
  </si>
  <si>
    <t>LHD</t>
  </si>
  <si>
    <t>AEB_C_C_Stationary_Autobrake</t>
  </si>
  <si>
    <t>AEB_C_C_Stationary_Driver_Reacts</t>
  </si>
  <si>
    <t>AEB_C_C_Slower_Moving_Autobrake</t>
  </si>
  <si>
    <t>AEB_C_C_Slower_Moving_Driver_Reacts</t>
  </si>
  <si>
    <t>AEB_C_C_Braking_Autobrake</t>
  </si>
  <si>
    <t>AEB_C_C_Braking_Driver_Reacts</t>
  </si>
  <si>
    <t>AEB_C_C_Turn_Across_Autobrake</t>
  </si>
  <si>
    <t>AEB_Ped_Adult_Crossing_Day</t>
  </si>
  <si>
    <t>AEB_Ped_Adult_Crossing_Night</t>
  </si>
  <si>
    <t>AEB_Ped_Adult_Along_Road_Day</t>
  </si>
  <si>
    <t>AEB_Ped_Adult_Along_Road_Night</t>
  </si>
  <si>
    <t>AEB_Ped_Child_Behind_Parked_Vehicles_Day</t>
  </si>
  <si>
    <t>AEB_Ped_Reversing_Standing_Pedestrian_Day</t>
  </si>
  <si>
    <t>AEB_Ped_Turn_Across_Path_Day</t>
  </si>
  <si>
    <t>AEB_Cyclist_Crossing</t>
  </si>
  <si>
    <t>AEB_Cyclist_Along_Roadside</t>
  </si>
  <si>
    <t>AEB_Cyclist_Nearside_Obstructed</t>
  </si>
  <si>
    <t>AEB Car-to-Car_NO</t>
  </si>
  <si>
    <t>AEB Pedestrian_NO</t>
  </si>
  <si>
    <t>AEB Cyclist_NO</t>
  </si>
  <si>
    <t>LSS_ELK/LKA_NO</t>
  </si>
  <si>
    <t>LSS_LDW_NO</t>
  </si>
  <si>
    <t>LSS_BLIS_NO</t>
  </si>
  <si>
    <t>SA_SLIF_NO</t>
  </si>
  <si>
    <t>SA_SCF_NO</t>
  </si>
  <si>
    <t>OSM_SBR Driver_NO</t>
  </si>
  <si>
    <t>OSM_SBR Passenger_NO</t>
  </si>
  <si>
    <t>OSM_Attention Assist_NO</t>
  </si>
  <si>
    <t/>
  </si>
  <si>
    <t>Toyota Safety Sense</t>
  </si>
  <si>
    <t>FAIL</t>
  </si>
  <si>
    <t>Camera &amp; Map</t>
  </si>
  <si>
    <t>Pass</t>
  </si>
  <si>
    <t>Fail</t>
  </si>
  <si>
    <t>Instrument Panel</t>
  </si>
  <si>
    <t>Flashing Traffic Sign</t>
  </si>
  <si>
    <t>Manually set</t>
  </si>
  <si>
    <t>Last year, the Citroën Jumpy/Peugeot Expert/Opel Vivaro/Toyota PROACE lay close to the silver/bronze threshold, and the latter was one which did not make it to the Silver medal positions.  This year, against Euro NCAP's tougher protocols, all of this family of vehicles lie firmly in the Bronze rankings, some vans performing more poorly but several others offering better safety.</t>
  </si>
  <si>
    <t>The PROACE is offered with autonomous emergency braking (AEB), incorporating forward collision warning (FCW) as an option.  In tests, the system performed very similarly to the Jumpy/Expert. Up to a certain speed, the system performed well in tests where the Jumpy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 showed weak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but the driver-set limiter was unable to maintain the set speed with sufficient accuracy to meet Euro NCAP’s requirements and was not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t>
  </si>
  <si>
    <t>Norway</t>
  </si>
  <si>
    <t>2022 field &gt; not needed in 2023 (added at bottom)</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</si>
</sst>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0">
    <numFmt numFmtId="164" formatCode="0.0"/>
    <numFmt numFmtId="165" formatCode="0.000"/>
    <numFmt numFmtId="166" formatCode="0.0%"/>
    <numFmt numFmtId="167" formatCode="0\ &quot;km/h&quot;"/>
    <numFmt numFmtId="168" formatCode="0.0\ &quot;m/s&quot;"/>
    <numFmt numFmtId="169" formatCode="0\ &quot;seats&quot;"/>
    <numFmt numFmtId="170" formatCode="##&quot; km/h&quot;"/>
    <numFmt numFmtId="171" formatCode="* &quot;seats&quot;"/>
    <numFmt numFmtId="172" formatCode="\2\ &quot;seats&quot;"/>
    <numFmt numFmtId="173" formatCode="\3\ &quot;seats&quot;"/>
  </numFmts>
  <fonts count="62">
    <font>
      <sz val="10"/>
      <name val="Arial"/>
    </font>
    <font>
      <sz val="11"/>
      <color theme="1"/>
      <name val="Calibri"/>
      <family val="2"/>
      <scheme val="minor"/>
    </font>
    <font>
      <sz val="10"/>
      <color theme="1"/>
      <name val="Segoe UI"/>
      <family val="2"/>
    </font>
    <font>
      <sz val="10"/>
      <color theme="1"/>
      <name val="Segoe UI"/>
      <family val="2"/>
    </font>
    <font>
      <sz val="11"/>
      <color indexed="8"/>
      <name val="Calibri"/>
      <family val="2"/>
    </font>
    <font>
      <sz val="10"/>
      <name val="Arial"/>
      <family val="2"/>
    </font>
    <font>
      <b/>
      <sz val="16"/>
      <name val="Arial"/>
      <family val="2"/>
    </font>
    <font>
      <b/>
      <sz val="10"/>
      <name val="Arial"/>
      <family val="2"/>
    </font>
    <font>
      <sz val="12"/>
      <name val="Arial"/>
      <family val="2"/>
    </font>
    <font>
      <b/>
      <sz val="10"/>
      <color indexed="8"/>
      <name val="Calibri"/>
      <family val="2"/>
    </font>
    <font>
      <sz val="10"/>
      <name val="Calibri"/>
      <family val="2"/>
    </font>
    <font>
      <b/>
      <sz val="10"/>
      <name val="Calibri"/>
      <family val="2"/>
    </font>
    <font>
      <b/>
      <sz val="14"/>
      <name val="Calibri"/>
      <family val="2"/>
    </font>
    <font>
      <sz val="10"/>
      <color indexed="8"/>
      <name val="Calibri"/>
      <family val="2"/>
    </font>
    <font>
      <sz val="14"/>
      <name val="Calibri"/>
      <family val="2"/>
    </font>
    <font>
      <sz val="12"/>
      <name val="Calibri"/>
      <family val="2"/>
    </font>
    <font>
      <b/>
      <sz val="12"/>
      <color indexed="9"/>
      <name val="Calibri"/>
      <family val="2"/>
    </font>
    <font>
      <b/>
      <sz val="11"/>
      <name val="Calibri"/>
      <family val="2"/>
    </font>
    <font>
      <b/>
      <sz val="12"/>
      <name val="Calibri"/>
      <family val="2"/>
    </font>
    <font>
      <b/>
      <sz val="20"/>
      <name val="Calibri"/>
      <family val="2"/>
    </font>
    <font>
      <b/>
      <sz val="16"/>
      <name val="Calibri"/>
      <family val="2"/>
    </font>
    <font>
      <b/>
      <sz val="14"/>
      <color indexed="8"/>
      <name val="Calibri"/>
      <family val="2"/>
    </font>
    <font>
      <sz val="10"/>
      <color theme="0"/>
      <name val="Calibri"/>
      <family val="2"/>
    </font>
    <font>
      <sz val="10"/>
      <color theme="0"/>
      <name val="Calibri"/>
      <family val="2"/>
      <scheme val="minor"/>
    </font>
    <font>
      <sz val="10"/>
      <name val="Calibri"/>
      <family val="2"/>
      <scheme val="minor"/>
    </font>
    <font>
      <b/>
      <sz val="10"/>
      <name val="Calibri"/>
      <family val="2"/>
      <scheme val="minor"/>
    </font>
    <font>
      <b/>
      <sz val="11"/>
      <name val="Calibri"/>
      <family val="2"/>
      <scheme val="minor"/>
    </font>
    <font>
      <sz val="12"/>
      <name val="Calibri"/>
      <family val="2"/>
      <scheme val="minor"/>
    </font>
    <font>
      <b/>
      <sz val="16"/>
      <name val="Calibri"/>
      <family val="2"/>
      <scheme val="minor"/>
    </font>
    <font>
      <b/>
      <sz val="20"/>
      <name val="Calibri"/>
      <family val="2"/>
      <scheme val="minor"/>
    </font>
    <font>
      <b/>
      <sz val="14"/>
      <name val="Calibri"/>
      <family val="2"/>
      <scheme val="minor"/>
    </font>
    <font>
      <sz val="10"/>
      <color theme="0"/>
      <name val="Arial"/>
      <family val="2"/>
    </font>
    <font>
      <sz val="1"/>
      <color theme="1"/>
      <name val="Calibri"/>
      <family val="3"/>
      <charset val="128"/>
      <scheme val="minor"/>
    </font>
    <font>
      <b/>
      <sz val="9"/>
      <name val="Calibri"/>
      <family val="2"/>
      <scheme val="minor"/>
    </font>
    <font>
      <b/>
      <sz val="10"/>
      <color theme="0"/>
      <name val="Calibri"/>
      <family val="2"/>
      <scheme val="minor"/>
    </font>
    <font>
      <sz val="12"/>
      <color theme="0"/>
      <name val="Calibri"/>
      <family val="2"/>
      <scheme val="minor"/>
    </font>
    <font>
      <b/>
      <sz val="10"/>
      <color theme="0"/>
      <name val="Calibri"/>
      <family val="2"/>
    </font>
    <font>
      <sz val="12"/>
      <color theme="0"/>
      <name val="Calibri"/>
      <family val="2"/>
    </font>
    <font>
      <b/>
      <sz val="24"/>
      <color theme="0"/>
      <name val="Calibri"/>
      <family val="2"/>
      <scheme val="minor"/>
    </font>
    <font>
      <b/>
      <vertAlign val="subscript"/>
      <sz val="10"/>
      <name val="Calibri"/>
      <family val="2"/>
      <scheme val="minor"/>
    </font>
    <font>
      <b/>
      <sz val="10"/>
      <color theme="1"/>
      <name val="Segoe UI"/>
      <family val="2"/>
    </font>
    <font>
      <b/>
      <sz val="24"/>
      <name val="Calibri"/>
      <family val="2"/>
      <scheme val="minor"/>
    </font>
    <font>
      <i/>
      <sz val="10"/>
      <color theme="1"/>
      <name val="Segoe UI"/>
      <family val="2"/>
    </font>
    <font>
      <sz val="11"/>
      <color rgb="FFFF0000"/>
      <name val="Calibri"/>
      <family val="2"/>
      <scheme val="minor"/>
    </font>
    <font>
      <b/>
      <sz val="11"/>
      <color theme="1"/>
      <name val="Calibri"/>
      <family val="2"/>
      <scheme val="minor"/>
    </font>
    <font>
      <b/>
      <sz val="14"/>
      <color theme="1"/>
      <name val="Calibri"/>
      <family val="2"/>
      <scheme val="minor"/>
    </font>
    <font>
      <b/>
      <sz val="11"/>
      <color rgb="FFFF0000"/>
      <name val="Calibri"/>
      <family val="2"/>
      <scheme val="minor"/>
    </font>
    <font>
      <u/>
      <sz val="11"/>
      <color theme="1"/>
      <name val="Calibri"/>
      <family val="2"/>
      <scheme val="minor"/>
    </font>
    <font>
      <b/>
      <sz val="9"/>
      <color theme="1"/>
      <name val="Calibri"/>
      <family val="2"/>
      <scheme val="minor"/>
    </font>
    <font>
      <sz val="10"/>
      <color rgb="FF000000"/>
      <name val="Arial"/>
      <family val="2"/>
    </font>
    <font>
      <sz val="11"/>
      <color rgb="FF000000"/>
      <name val="Calibri"/>
      <family val="2"/>
      <scheme val="minor"/>
    </font>
    <font>
      <sz val="8"/>
      <color rgb="FF000000"/>
      <name val="Calibri"/>
      <family val="2"/>
      <scheme val="minor"/>
    </font>
    <font>
      <strike/>
      <sz val="11"/>
      <color theme="1"/>
      <name val="Calibri"/>
      <family val="2"/>
      <scheme val="minor"/>
    </font>
    <font>
      <b/>
      <sz val="11"/>
      <color rgb="FF000000"/>
      <name val="Calibri"/>
      <family val="2"/>
      <scheme val="minor"/>
    </font>
    <font>
      <b/>
      <sz val="9"/>
      <color indexed="81"/>
      <name val="Tahoma"/>
      <family val="2"/>
    </font>
    <font>
      <sz val="9"/>
      <color indexed="81"/>
      <name val="Tahoma"/>
      <family val="2"/>
    </font>
    <font>
      <sz val="9"/>
      <name val="Calibri"/>
      <family val="2"/>
    </font>
    <font>
      <vertAlign val="subscript"/>
      <sz val="9"/>
      <name val="Calibri"/>
      <family val="2"/>
    </font>
    <font>
      <sz val="10"/>
      <color rgb="FFFF0000"/>
      <name val="Arial"/>
      <family val="2"/>
    </font>
    <font>
      <b/>
      <sz val="10"/>
      <color rgb="FFFF0000"/>
      <name val="Calibri"/>
      <family val="2"/>
    </font>
    <font>
      <sz val="10"/>
      <name val="Segoe UI"/>
      <family val="2"/>
    </font>
    <font>
      <sz val="10"/>
      <color rgb="FFFF0000"/>
      <name val="Segoe UI"/>
      <family val="2"/>
    </font>
  </fonts>
  <fills count="15">
    <fill>
      <patternFill patternType="none"/>
    </fill>
    <fill>
      <patternFill patternType="gray125"/>
    </fill>
    <fill>
      <patternFill patternType="solid">
        <fgColor indexed="9"/>
        <bgColor indexed="64"/>
      </patternFill>
    </fill>
    <fill>
      <patternFill patternType="solid">
        <fgColor indexed="22"/>
        <bgColor indexed="64"/>
      </patternFill>
    </fill>
    <fill>
      <patternFill patternType="solid">
        <fgColor indexed="55"/>
        <bgColor indexed="64"/>
      </patternFill>
    </fill>
    <fill>
      <patternFill patternType="solid">
        <fgColor indexed="23"/>
        <bgColor indexed="64"/>
      </patternFill>
    </fill>
    <fill>
      <patternFill patternType="solid">
        <fgColor theme="0"/>
        <bgColor indexed="64"/>
      </patternFill>
    </fill>
    <fill>
      <patternFill patternType="solid">
        <fgColor theme="0" tint="-0.14999847407452621"/>
        <bgColor indexed="64"/>
      </patternFill>
    </fill>
    <fill>
      <patternFill patternType="solid">
        <fgColor theme="0" tint="-0.249977111117893"/>
        <bgColor indexed="64"/>
      </patternFill>
    </fill>
    <fill>
      <patternFill patternType="solid">
        <fgColor rgb="FF647C8D"/>
        <bgColor indexed="64"/>
      </patternFill>
    </fill>
    <fill>
      <patternFill patternType="solid">
        <fgColor theme="0"/>
        <bgColor rgb="FFFFFFFF"/>
      </patternFill>
    </fill>
    <fill>
      <patternFill patternType="solid">
        <fgColor theme="0" tint="-0.14999847407452621"/>
        <bgColor rgb="FFFFFFFF"/>
      </patternFill>
    </fill>
    <fill>
      <patternFill patternType="solid">
        <fgColor theme="0" tint="-4.9989318521683403E-2"/>
        <bgColor indexed="64"/>
      </patternFill>
    </fill>
    <fill>
      <patternFill patternType="solid">
        <fgColor rgb="FFFFFF00"/>
        <bgColor indexed="64"/>
      </patternFill>
    </fill>
    <fill>
      <patternFill patternType="solid">
        <fgColor theme="9" tint="-0.249977111117893"/>
        <bgColor indexed="64"/>
      </patternFill>
    </fill>
  </fills>
  <borders count="84">
    <border>
      <left/>
      <right/>
      <top/>
      <bottom/>
      <diagonal/>
    </border>
    <border>
      <left/>
      <right style="thin">
        <color indexed="64"/>
      </right>
      <top/>
      <bottom/>
      <diagonal/>
    </border>
    <border>
      <left style="medium">
        <color indexed="64"/>
      </left>
      <right/>
      <top/>
      <bottom/>
      <diagonal/>
    </border>
    <border>
      <left style="medium">
        <color indexed="64"/>
      </left>
      <right/>
      <top/>
      <bottom style="medium">
        <color indexed="64"/>
      </bottom>
      <diagonal/>
    </border>
    <border>
      <left/>
      <right style="medium">
        <color indexed="64"/>
      </right>
      <top/>
      <bottom style="medium">
        <color indexed="64"/>
      </bottom>
      <diagonal/>
    </border>
    <border>
      <left/>
      <right style="medium">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bottom style="medium">
        <color indexed="64"/>
      </bottom>
      <diagonal/>
    </border>
    <border>
      <left/>
      <right style="thin">
        <color indexed="64"/>
      </right>
      <top/>
      <bottom style="medium">
        <color indexed="64"/>
      </bottom>
      <diagonal/>
    </border>
    <border>
      <left style="thin">
        <color indexed="64"/>
      </left>
      <right/>
      <top/>
      <bottom/>
      <diagonal/>
    </border>
    <border>
      <left style="thin">
        <color indexed="64"/>
      </left>
      <right/>
      <top style="medium">
        <color indexed="64"/>
      </top>
      <bottom style="medium">
        <color indexed="64"/>
      </bottom>
      <diagonal/>
    </border>
    <border>
      <left style="thin">
        <color indexed="64"/>
      </left>
      <right/>
      <top/>
      <bottom style="medium">
        <color indexed="64"/>
      </bottom>
      <diagonal/>
    </border>
    <border>
      <left/>
      <right style="thin">
        <color indexed="64"/>
      </right>
      <top style="medium">
        <color indexed="64"/>
      </top>
      <bottom/>
      <diagonal/>
    </border>
    <border>
      <left style="thin">
        <color indexed="64"/>
      </left>
      <right/>
      <top style="medium">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bottom/>
      <diagonal/>
    </border>
    <border>
      <left style="thin">
        <color indexed="64"/>
      </left>
      <right style="thin">
        <color indexed="64"/>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diagonal/>
    </border>
    <border>
      <left style="medium">
        <color indexed="64"/>
      </left>
      <right style="medium">
        <color indexed="64"/>
      </right>
      <top style="medium">
        <color indexed="64"/>
      </top>
      <bottom style="medium">
        <color indexed="64"/>
      </bottom>
      <diagonal/>
    </border>
    <border>
      <left style="medium">
        <color indexed="64"/>
      </left>
      <right style="thin">
        <color indexed="64"/>
      </right>
      <top/>
      <bottom style="medium">
        <color indexed="64"/>
      </bottom>
      <diagonal/>
    </border>
    <border>
      <left style="medium">
        <color indexed="64"/>
      </left>
      <right style="thin">
        <color indexed="64"/>
      </right>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thin">
        <color indexed="64"/>
      </left>
      <right/>
      <top/>
      <bottom style="thin">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bottom style="medium">
        <color indexed="64"/>
      </bottom>
      <diagonal/>
    </border>
    <border>
      <left/>
      <right/>
      <top style="medium">
        <color indexed="64"/>
      </top>
      <bottom style="thin">
        <color indexed="64"/>
      </bottom>
      <diagonal/>
    </border>
    <border>
      <left/>
      <right/>
      <top/>
      <bottom style="thin">
        <color indexed="64"/>
      </bottom>
      <diagonal/>
    </border>
    <border>
      <left style="thin">
        <color indexed="64"/>
      </left>
      <right style="medium">
        <color indexed="64"/>
      </right>
      <top style="medium">
        <color indexed="64"/>
      </top>
      <bottom style="thin">
        <color indexed="64"/>
      </bottom>
      <diagonal/>
    </border>
    <border>
      <left/>
      <right style="thin">
        <color indexed="64"/>
      </right>
      <top style="thin">
        <color indexed="22"/>
      </top>
      <bottom style="thin">
        <color indexed="22"/>
      </bottom>
      <diagonal/>
    </border>
    <border>
      <left/>
      <right/>
      <top style="thin">
        <color indexed="22"/>
      </top>
      <bottom style="thin">
        <color indexed="22"/>
      </bottom>
      <diagonal/>
    </border>
    <border>
      <left style="thin">
        <color indexed="64"/>
      </left>
      <right style="thin">
        <color indexed="22"/>
      </right>
      <top style="thin">
        <color indexed="22"/>
      </top>
      <bottom style="thin">
        <color indexed="22"/>
      </bottom>
      <diagonal/>
    </border>
    <border>
      <left style="thin">
        <color indexed="22"/>
      </left>
      <right style="thin">
        <color indexed="64"/>
      </right>
      <top style="thin">
        <color indexed="22"/>
      </top>
      <bottom style="thin">
        <color indexed="22"/>
      </bottom>
      <diagonal/>
    </border>
    <border>
      <left style="thin">
        <color indexed="64"/>
      </left>
      <right/>
      <top style="thin">
        <color indexed="22"/>
      </top>
      <bottom style="thin">
        <color indexed="22"/>
      </bottom>
      <diagonal/>
    </border>
    <border>
      <left/>
      <right/>
      <top style="thin">
        <color indexed="22"/>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auto="1"/>
      </right>
      <top style="thin">
        <color auto="1"/>
      </top>
      <bottom style="thin">
        <color auto="1"/>
      </bottom>
      <diagonal/>
    </border>
    <border>
      <left/>
      <right style="medium">
        <color indexed="64"/>
      </right>
      <top style="thin">
        <color auto="1"/>
      </top>
      <bottom style="thin">
        <color auto="1"/>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medium">
        <color indexed="64"/>
      </right>
      <top style="thin">
        <color indexed="64"/>
      </top>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medium">
        <color indexed="64"/>
      </bottom>
      <diagonal/>
    </border>
    <border>
      <left style="thin">
        <color auto="1"/>
      </left>
      <right style="thin">
        <color auto="1"/>
      </right>
      <top style="thin">
        <color auto="1"/>
      </top>
      <bottom style="thin">
        <color indexed="64"/>
      </bottom>
      <diagonal/>
    </border>
    <border>
      <left style="thin">
        <color indexed="64"/>
      </left>
      <right style="thin">
        <color indexed="64"/>
      </right>
      <top style="medium">
        <color indexed="64"/>
      </top>
      <bottom/>
      <diagonal/>
    </border>
    <border>
      <left style="medium">
        <color indexed="64"/>
      </left>
      <right style="thin">
        <color indexed="64"/>
      </right>
      <top style="medium">
        <color indexed="64"/>
      </top>
      <bottom/>
      <diagonal/>
    </border>
    <border>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thin">
        <color auto="1"/>
      </left>
      <right style="thin">
        <color auto="1"/>
      </right>
      <top style="thin">
        <color auto="1"/>
      </top>
      <bottom style="thin">
        <color indexed="64"/>
      </bottom>
      <diagonal/>
    </border>
    <border>
      <left style="thin">
        <color auto="1"/>
      </left>
      <right style="medium">
        <color indexed="64"/>
      </right>
      <top style="thin">
        <color auto="1"/>
      </top>
      <bottom style="thin">
        <color auto="1"/>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s>
  <cellStyleXfs count="7">
    <xf numFmtId="0" fontId="0" fillId="0" borderId="0"/>
    <xf numFmtId="0" fontId="5" fillId="0" borderId="0"/>
    <xf numFmtId="9" fontId="5" fillId="0" borderId="0" applyFont="0" applyFill="0" applyBorder="0" applyAlignment="0" applyProtection="0"/>
    <xf numFmtId="0" fontId="4" fillId="0" borderId="0"/>
    <xf numFmtId="0" fontId="3" fillId="0" borderId="0"/>
    <xf numFmtId="0" fontId="1" fillId="0" borderId="0"/>
    <xf numFmtId="0" fontId="49" fillId="0" borderId="0"/>
  </cellStyleXfs>
  <cellXfs count="807">
    <xf numFmtId="0" fontId="0" fillId="0" borderId="0" xfId="0"/>
    <xf numFmtId="0" fontId="10" fillId="2" borderId="0" xfId="0" applyFont="1" applyFill="1"/>
    <xf numFmtId="0" fontId="10" fillId="2" borderId="0" xfId="0" applyFont="1" applyFill="1" applyAlignment="1">
      <alignment horizontal="center"/>
    </xf>
    <xf numFmtId="0" fontId="11" fillId="2" borderId="0" xfId="0" applyFont="1" applyFill="1"/>
    <xf numFmtId="0" fontId="11" fillId="0" borderId="3" xfId="0" applyFont="1" applyBorder="1" applyAlignment="1">
      <alignment horizontal="center"/>
    </xf>
    <xf numFmtId="0" fontId="11" fillId="0" borderId="2" xfId="0" applyFont="1" applyBorder="1"/>
    <xf numFmtId="0" fontId="10" fillId="0" borderId="0" xfId="0" applyFont="1"/>
    <xf numFmtId="0" fontId="10" fillId="0" borderId="2" xfId="0" applyFont="1" applyBorder="1"/>
    <xf numFmtId="2" fontId="10" fillId="0" borderId="5" xfId="0" applyNumberFormat="1" applyFont="1" applyBorder="1"/>
    <xf numFmtId="0" fontId="11" fillId="0" borderId="6" xfId="0" applyFont="1" applyBorder="1"/>
    <xf numFmtId="0" fontId="10" fillId="0" borderId="7" xfId="0" applyFont="1" applyBorder="1"/>
    <xf numFmtId="2" fontId="10" fillId="0" borderId="2" xfId="0" applyNumberFormat="1" applyFont="1" applyBorder="1"/>
    <xf numFmtId="0" fontId="10" fillId="0" borderId="0" xfId="0" applyFont="1" applyAlignment="1">
      <alignment horizontal="right" indent="1"/>
    </xf>
    <xf numFmtId="0" fontId="10" fillId="0" borderId="3" xfId="0" applyFont="1" applyBorder="1"/>
    <xf numFmtId="0" fontId="11" fillId="0" borderId="12" xfId="0" applyFont="1" applyBorder="1"/>
    <xf numFmtId="0" fontId="10" fillId="0" borderId="5" xfId="0" applyFont="1" applyBorder="1" applyAlignment="1">
      <alignment horizontal="center"/>
    </xf>
    <xf numFmtId="0" fontId="10" fillId="0" borderId="0" xfId="0" applyFont="1" applyAlignment="1">
      <alignment horizontal="left"/>
    </xf>
    <xf numFmtId="0" fontId="11" fillId="0" borderId="4" xfId="0" applyFont="1" applyBorder="1" applyAlignment="1">
      <alignment horizontal="center"/>
    </xf>
    <xf numFmtId="0" fontId="11" fillId="0" borderId="0" xfId="0" applyFont="1" applyAlignment="1">
      <alignment wrapText="1"/>
    </xf>
    <xf numFmtId="0" fontId="10" fillId="0" borderId="7" xfId="0" applyFont="1" applyBorder="1" applyAlignment="1">
      <alignment horizontal="right" indent="1"/>
    </xf>
    <xf numFmtId="0" fontId="10" fillId="2" borderId="0" xfId="1" applyFont="1" applyFill="1"/>
    <xf numFmtId="0" fontId="10" fillId="2" borderId="2" xfId="1" applyFont="1" applyFill="1" applyBorder="1"/>
    <xf numFmtId="0" fontId="10" fillId="2" borderId="3" xfId="1" applyFont="1" applyFill="1" applyBorder="1"/>
    <xf numFmtId="0" fontId="12" fillId="2" borderId="0" xfId="1" applyFont="1" applyFill="1" applyAlignment="1" applyProtection="1">
      <alignment horizontal="center"/>
      <protection locked="0"/>
    </xf>
    <xf numFmtId="0" fontId="10" fillId="0" borderId="0" xfId="1" applyFont="1"/>
    <xf numFmtId="0" fontId="10" fillId="0" borderId="2" xfId="1" applyFont="1" applyBorder="1"/>
    <xf numFmtId="0" fontId="11" fillId="2" borderId="0" xfId="1" applyFont="1" applyFill="1"/>
    <xf numFmtId="0" fontId="23" fillId="6" borderId="0" xfId="1" applyFont="1" applyFill="1"/>
    <xf numFmtId="0" fontId="24" fillId="6" borderId="0" xfId="1" applyFont="1" applyFill="1"/>
    <xf numFmtId="0" fontId="24" fillId="6" borderId="0" xfId="1" applyFont="1" applyFill="1" applyAlignment="1">
      <alignment horizontal="center"/>
    </xf>
    <xf numFmtId="0" fontId="25" fillId="6" borderId="0" xfId="1" applyFont="1" applyFill="1"/>
    <xf numFmtId="0" fontId="25" fillId="0" borderId="2" xfId="1" applyFont="1" applyBorder="1"/>
    <xf numFmtId="0" fontId="24" fillId="0" borderId="0" xfId="1" applyFont="1" applyAlignment="1">
      <alignment horizontal="right" indent="1"/>
    </xf>
    <xf numFmtId="0" fontId="25" fillId="0" borderId="6" xfId="1" applyFont="1" applyBorder="1"/>
    <xf numFmtId="0" fontId="24" fillId="0" borderId="7" xfId="1" applyFont="1" applyBorder="1" applyAlignment="1">
      <alignment horizontal="right" indent="1"/>
    </xf>
    <xf numFmtId="0" fontId="24" fillId="0" borderId="0" xfId="1" applyFont="1" applyAlignment="1">
      <alignment horizontal="left"/>
    </xf>
    <xf numFmtId="0" fontId="24" fillId="0" borderId="2" xfId="1" applyFont="1" applyBorder="1"/>
    <xf numFmtId="0" fontId="25" fillId="0" borderId="0" xfId="1" applyFont="1" applyAlignment="1">
      <alignment wrapText="1"/>
    </xf>
    <xf numFmtId="0" fontId="24" fillId="0" borderId="3" xfId="1" applyFont="1" applyBorder="1"/>
    <xf numFmtId="2" fontId="24" fillId="6" borderId="0" xfId="1" applyNumberFormat="1" applyFont="1" applyFill="1"/>
    <xf numFmtId="165" fontId="24" fillId="0" borderId="4" xfId="1" applyNumberFormat="1" applyFont="1" applyBorder="1" applyAlignment="1">
      <alignment horizontal="center"/>
    </xf>
    <xf numFmtId="0" fontId="10" fillId="6" borderId="0" xfId="1" applyFont="1" applyFill="1"/>
    <xf numFmtId="167" fontId="24" fillId="0" borderId="0" xfId="1" applyNumberFormat="1" applyFont="1" applyAlignment="1">
      <alignment horizontal="right" indent="1"/>
    </xf>
    <xf numFmtId="0" fontId="0" fillId="6" borderId="0" xfId="0" applyFill="1"/>
    <xf numFmtId="49" fontId="10" fillId="3" borderId="5" xfId="1" applyNumberFormat="1" applyFont="1" applyFill="1" applyBorder="1" applyAlignment="1">
      <alignment horizontal="center"/>
    </xf>
    <xf numFmtId="0" fontId="10" fillId="6" borderId="0" xfId="0" applyFont="1" applyFill="1"/>
    <xf numFmtId="0" fontId="11" fillId="6" borderId="0" xfId="0" applyFont="1" applyFill="1"/>
    <xf numFmtId="0" fontId="10" fillId="6" borderId="0" xfId="0" applyFont="1" applyFill="1" applyAlignment="1">
      <alignment horizontal="center"/>
    </xf>
    <xf numFmtId="164" fontId="24" fillId="6" borderId="0" xfId="1" applyNumberFormat="1" applyFont="1" applyFill="1"/>
    <xf numFmtId="0" fontId="11" fillId="0" borderId="3" xfId="0" applyFont="1" applyBorder="1"/>
    <xf numFmtId="0" fontId="10" fillId="0" borderId="5" xfId="0" applyFont="1" applyBorder="1" applyAlignment="1">
      <alignment horizontal="left"/>
    </xf>
    <xf numFmtId="0" fontId="24" fillId="0" borderId="0" xfId="1" applyFont="1" applyAlignment="1">
      <alignment wrapText="1"/>
    </xf>
    <xf numFmtId="0" fontId="24" fillId="0" borderId="0" xfId="1" applyFont="1" applyAlignment="1">
      <alignment horizontal="right" wrapText="1" indent="1"/>
    </xf>
    <xf numFmtId="0" fontId="24" fillId="0" borderId="0" xfId="1" applyFont="1" applyAlignment="1">
      <alignment horizontal="left" wrapText="1"/>
    </xf>
    <xf numFmtId="0" fontId="22" fillId="2" borderId="0" xfId="1" applyFont="1" applyFill="1"/>
    <xf numFmtId="49" fontId="10" fillId="3" borderId="5" xfId="1" applyNumberFormat="1" applyFont="1" applyFill="1" applyBorder="1" applyAlignment="1">
      <alignment horizontal="left"/>
    </xf>
    <xf numFmtId="0" fontId="10" fillId="2" borderId="6" xfId="1" applyFont="1" applyFill="1" applyBorder="1"/>
    <xf numFmtId="49" fontId="22" fillId="2" borderId="0" xfId="0" applyNumberFormat="1" applyFont="1" applyFill="1"/>
    <xf numFmtId="168" fontId="24" fillId="0" borderId="0" xfId="1" applyNumberFormat="1" applyFont="1" applyAlignment="1">
      <alignment horizontal="right" indent="1"/>
    </xf>
    <xf numFmtId="0" fontId="10" fillId="2" borderId="2" xfId="1" applyFont="1" applyFill="1" applyBorder="1" applyAlignment="1">
      <alignment horizontal="right" indent="1"/>
    </xf>
    <xf numFmtId="49" fontId="24" fillId="6" borderId="0" xfId="1" applyNumberFormat="1" applyFont="1" applyFill="1" applyAlignment="1">
      <alignment horizontal="center"/>
    </xf>
    <xf numFmtId="2" fontId="10" fillId="0" borderId="2" xfId="0" applyNumberFormat="1" applyFont="1" applyBorder="1" applyAlignment="1">
      <alignment horizontal="center"/>
    </xf>
    <xf numFmtId="2" fontId="24" fillId="8" borderId="2" xfId="1" applyNumberFormat="1" applyFont="1" applyFill="1" applyBorder="1"/>
    <xf numFmtId="0" fontId="24" fillId="0" borderId="8" xfId="1" applyFont="1" applyBorder="1" applyAlignment="1">
      <alignment horizontal="right" indent="1"/>
    </xf>
    <xf numFmtId="0" fontId="24" fillId="0" borderId="5" xfId="1" applyFont="1" applyBorder="1" applyAlignment="1">
      <alignment horizontal="right" indent="1"/>
    </xf>
    <xf numFmtId="0" fontId="24" fillId="0" borderId="4" xfId="1" applyFont="1" applyBorder="1" applyAlignment="1">
      <alignment horizontal="right" indent="1"/>
    </xf>
    <xf numFmtId="0" fontId="10" fillId="0" borderId="8" xfId="0" applyFont="1" applyBorder="1" applyAlignment="1">
      <alignment horizontal="right" indent="1"/>
    </xf>
    <xf numFmtId="0" fontId="10" fillId="0" borderId="4" xfId="0" applyFont="1" applyBorder="1" applyAlignment="1">
      <alignment horizontal="left"/>
    </xf>
    <xf numFmtId="0" fontId="34" fillId="0" borderId="2" xfId="1" applyFont="1" applyBorder="1"/>
    <xf numFmtId="0" fontId="24" fillId="0" borderId="0" xfId="1" applyFont="1"/>
    <xf numFmtId="0" fontId="11" fillId="6" borderId="0" xfId="0" applyFont="1" applyFill="1" applyAlignment="1">
      <alignment horizontal="center"/>
    </xf>
    <xf numFmtId="0" fontId="10" fillId="6" borderId="0" xfId="0" applyFont="1" applyFill="1" applyAlignment="1">
      <alignment horizontal="right" indent="1"/>
    </xf>
    <xf numFmtId="49" fontId="10" fillId="6" borderId="0" xfId="0" applyNumberFormat="1" applyFont="1" applyFill="1"/>
    <xf numFmtId="164" fontId="10" fillId="6" borderId="0" xfId="0" applyNumberFormat="1" applyFont="1" applyFill="1"/>
    <xf numFmtId="0" fontId="12" fillId="2" borderId="9" xfId="1" applyFont="1" applyFill="1" applyBorder="1" applyAlignment="1">
      <alignment horizontal="center" vertical="center"/>
    </xf>
    <xf numFmtId="49" fontId="10" fillId="8" borderId="2" xfId="0" applyNumberFormat="1" applyFont="1" applyFill="1" applyBorder="1" applyAlignment="1">
      <alignment horizontal="center"/>
    </xf>
    <xf numFmtId="165" fontId="24" fillId="0" borderId="5" xfId="1" applyNumberFormat="1" applyFont="1" applyBorder="1" applyAlignment="1">
      <alignment horizontal="center"/>
    </xf>
    <xf numFmtId="0" fontId="25" fillId="0" borderId="3" xfId="1" applyFont="1" applyBorder="1" applyAlignment="1">
      <alignment horizontal="center" vertical="center"/>
    </xf>
    <xf numFmtId="0" fontId="25" fillId="0" borderId="13" xfId="1" applyFont="1" applyBorder="1" applyAlignment="1">
      <alignment horizontal="center" vertical="center"/>
    </xf>
    <xf numFmtId="0" fontId="25" fillId="0" borderId="4" xfId="1" applyFont="1" applyBorder="1" applyAlignment="1">
      <alignment horizontal="center" vertical="center"/>
    </xf>
    <xf numFmtId="0" fontId="25" fillId="0" borderId="6" xfId="1" applyFont="1" applyBorder="1" applyAlignment="1">
      <alignment horizontal="center" vertical="center"/>
    </xf>
    <xf numFmtId="0" fontId="25" fillId="0" borderId="8" xfId="1" applyFont="1" applyBorder="1" applyAlignment="1">
      <alignment horizontal="center" vertical="center"/>
    </xf>
    <xf numFmtId="0" fontId="25" fillId="0" borderId="5" xfId="1" applyFont="1" applyBorder="1" applyAlignment="1">
      <alignment wrapText="1"/>
    </xf>
    <xf numFmtId="0" fontId="25" fillId="0" borderId="5" xfId="1" applyFont="1" applyBorder="1"/>
    <xf numFmtId="0" fontId="25" fillId="0" borderId="4" xfId="1" applyFont="1" applyBorder="1"/>
    <xf numFmtId="0" fontId="25" fillId="0" borderId="8" xfId="1" applyFont="1" applyBorder="1" applyAlignment="1">
      <alignment wrapText="1"/>
    </xf>
    <xf numFmtId="0" fontId="24" fillId="0" borderId="6" xfId="1" applyFont="1" applyBorder="1"/>
    <xf numFmtId="2" fontId="24" fillId="8" borderId="3" xfId="1" applyNumberFormat="1" applyFont="1" applyFill="1" applyBorder="1"/>
    <xf numFmtId="0" fontId="23" fillId="0" borderId="2" xfId="1" applyFont="1" applyBorder="1"/>
    <xf numFmtId="169" fontId="10" fillId="2" borderId="0" xfId="1" applyNumberFormat="1" applyFont="1" applyFill="1"/>
    <xf numFmtId="171" fontId="10" fillId="2" borderId="0" xfId="1" applyNumberFormat="1" applyFont="1" applyFill="1"/>
    <xf numFmtId="172" fontId="10" fillId="2" borderId="0" xfId="1" applyNumberFormat="1" applyFont="1" applyFill="1"/>
    <xf numFmtId="173" fontId="10" fillId="2" borderId="0" xfId="1" applyNumberFormat="1" applyFont="1" applyFill="1"/>
    <xf numFmtId="0" fontId="10" fillId="2" borderId="0" xfId="1" applyFont="1" applyFill="1" applyAlignment="1">
      <alignment horizontal="center"/>
    </xf>
    <xf numFmtId="0" fontId="10" fillId="0" borderId="0" xfId="1" applyFont="1" applyAlignment="1">
      <alignment horizontal="right" indent="1"/>
    </xf>
    <xf numFmtId="0" fontId="11" fillId="0" borderId="6" xfId="1" applyFont="1" applyBorder="1"/>
    <xf numFmtId="0" fontId="10" fillId="0" borderId="8" xfId="0" applyFont="1" applyBorder="1"/>
    <xf numFmtId="0" fontId="10" fillId="0" borderId="5" xfId="0" applyFont="1" applyBorder="1"/>
    <xf numFmtId="0" fontId="10" fillId="2" borderId="12" xfId="1" applyFont="1" applyFill="1" applyBorder="1"/>
    <xf numFmtId="0" fontId="22" fillId="2" borderId="5" xfId="1" applyFont="1" applyFill="1" applyBorder="1"/>
    <xf numFmtId="49" fontId="10" fillId="6" borderId="5" xfId="1" applyNumberFormat="1" applyFont="1" applyFill="1" applyBorder="1" applyAlignment="1">
      <alignment horizontal="left"/>
    </xf>
    <xf numFmtId="0" fontId="10" fillId="6" borderId="5" xfId="1" applyFont="1" applyFill="1" applyBorder="1"/>
    <xf numFmtId="0" fontId="10" fillId="6" borderId="4" xfId="1" applyFont="1" applyFill="1" applyBorder="1"/>
    <xf numFmtId="0" fontId="10" fillId="8" borderId="32" xfId="0" applyFont="1" applyFill="1" applyBorder="1" applyAlignment="1">
      <alignment horizontal="center"/>
    </xf>
    <xf numFmtId="0" fontId="10" fillId="8" borderId="26" xfId="0" applyFont="1" applyFill="1" applyBorder="1" applyAlignment="1">
      <alignment horizontal="center"/>
    </xf>
    <xf numFmtId="0" fontId="10" fillId="8" borderId="31" xfId="0" applyFont="1" applyFill="1" applyBorder="1" applyAlignment="1">
      <alignment horizontal="center"/>
    </xf>
    <xf numFmtId="0" fontId="10" fillId="8" borderId="28" xfId="0" applyFont="1" applyFill="1" applyBorder="1" applyAlignment="1">
      <alignment horizontal="center"/>
    </xf>
    <xf numFmtId="0" fontId="10" fillId="8" borderId="29" xfId="0" applyFont="1" applyFill="1" applyBorder="1" applyAlignment="1">
      <alignment horizontal="center"/>
    </xf>
    <xf numFmtId="0" fontId="10" fillId="8" borderId="39" xfId="0" applyFont="1" applyFill="1" applyBorder="1" applyAlignment="1">
      <alignment horizontal="center"/>
    </xf>
    <xf numFmtId="0" fontId="11" fillId="0" borderId="29" xfId="0" applyFont="1" applyBorder="1" applyAlignment="1">
      <alignment horizontal="center"/>
    </xf>
    <xf numFmtId="0" fontId="11" fillId="0" borderId="39" xfId="0" applyFont="1" applyBorder="1" applyAlignment="1">
      <alignment horizontal="center"/>
    </xf>
    <xf numFmtId="165" fontId="17" fillId="0" borderId="37" xfId="0" applyNumberFormat="1" applyFont="1" applyBorder="1"/>
    <xf numFmtId="165" fontId="17" fillId="0" borderId="38" xfId="0" applyNumberFormat="1" applyFont="1" applyBorder="1" applyAlignment="1">
      <alignment horizontal="center"/>
    </xf>
    <xf numFmtId="165" fontId="17" fillId="0" borderId="27" xfId="0" applyNumberFormat="1" applyFont="1" applyBorder="1" applyAlignment="1">
      <alignment horizontal="center"/>
    </xf>
    <xf numFmtId="165" fontId="17" fillId="0" borderId="37" xfId="0" applyNumberFormat="1" applyFont="1" applyBorder="1" applyAlignment="1">
      <alignment horizontal="center"/>
    </xf>
    <xf numFmtId="165" fontId="10" fillId="0" borderId="5" xfId="0" applyNumberFormat="1" applyFont="1" applyBorder="1" applyAlignment="1">
      <alignment horizontal="center"/>
    </xf>
    <xf numFmtId="0" fontId="11" fillId="0" borderId="38" xfId="0" applyFont="1" applyBorder="1" applyAlignment="1">
      <alignment horizontal="center"/>
    </xf>
    <xf numFmtId="0" fontId="11" fillId="0" borderId="27" xfId="0" applyFont="1" applyBorder="1" applyAlignment="1">
      <alignment horizontal="center"/>
    </xf>
    <xf numFmtId="0" fontId="11" fillId="0" borderId="37" xfId="0" applyFont="1" applyBorder="1" applyAlignment="1">
      <alignment horizontal="center"/>
    </xf>
    <xf numFmtId="0" fontId="11" fillId="2" borderId="30" xfId="0" applyFont="1" applyFill="1" applyBorder="1" applyAlignment="1">
      <alignment horizontal="center"/>
    </xf>
    <xf numFmtId="0" fontId="10" fillId="2" borderId="20" xfId="0" applyFont="1" applyFill="1" applyBorder="1" applyAlignment="1">
      <alignment horizontal="center"/>
    </xf>
    <xf numFmtId="165" fontId="17" fillId="0" borderId="30" xfId="0" applyNumberFormat="1" applyFont="1" applyBorder="1" applyAlignment="1">
      <alignment horizontal="center"/>
    </xf>
    <xf numFmtId="0" fontId="5" fillId="2" borderId="0" xfId="1" applyFill="1" applyProtection="1">
      <protection locked="0"/>
    </xf>
    <xf numFmtId="0" fontId="38" fillId="6" borderId="0" xfId="1" applyFont="1" applyFill="1" applyAlignment="1" applyProtection="1">
      <alignment horizontal="center" vertical="center"/>
      <protection locked="0"/>
    </xf>
    <xf numFmtId="0" fontId="14" fillId="2" borderId="0" xfId="1" applyFont="1" applyFill="1" applyProtection="1">
      <protection locked="0"/>
    </xf>
    <xf numFmtId="0" fontId="6" fillId="2" borderId="0" xfId="1" applyFont="1" applyFill="1" applyProtection="1">
      <protection locked="0"/>
    </xf>
    <xf numFmtId="0" fontId="5" fillId="0" borderId="0" xfId="1"/>
    <xf numFmtId="0" fontId="5" fillId="6" borderId="0" xfId="1" applyFill="1" applyProtection="1">
      <protection locked="0"/>
    </xf>
    <xf numFmtId="0" fontId="22" fillId="2" borderId="6" xfId="1" applyFont="1" applyFill="1" applyBorder="1" applyProtection="1">
      <protection locked="0"/>
    </xf>
    <xf numFmtId="0" fontId="10" fillId="2" borderId="18" xfId="1" applyFont="1" applyFill="1" applyBorder="1" applyAlignment="1" applyProtection="1">
      <alignment horizontal="left" vertical="center" indent="1"/>
      <protection locked="0"/>
    </xf>
    <xf numFmtId="165" fontId="10" fillId="2" borderId="40" xfId="1" applyNumberFormat="1" applyFont="1" applyFill="1" applyBorder="1" applyAlignment="1" applyProtection="1">
      <alignment horizontal="right" vertical="center"/>
      <protection locked="0"/>
    </xf>
    <xf numFmtId="165" fontId="11" fillId="0" borderId="22" xfId="1" applyNumberFormat="1" applyFont="1" applyBorder="1" applyAlignment="1" applyProtection="1">
      <alignment horizontal="center" vertical="center"/>
      <protection locked="0"/>
    </xf>
    <xf numFmtId="165" fontId="10" fillId="2" borderId="23" xfId="1" applyNumberFormat="1" applyFont="1" applyFill="1" applyBorder="1" applyAlignment="1" applyProtection="1">
      <alignment horizontal="left" vertical="center"/>
      <protection locked="0"/>
    </xf>
    <xf numFmtId="0" fontId="22" fillId="2" borderId="2" xfId="1" applyFont="1" applyFill="1" applyBorder="1" applyProtection="1">
      <protection locked="0"/>
    </xf>
    <xf numFmtId="0" fontId="10" fillId="2" borderId="49" xfId="1" applyFont="1" applyFill="1" applyBorder="1" applyAlignment="1" applyProtection="1">
      <alignment horizontal="left" vertical="center" indent="1"/>
      <protection locked="0"/>
    </xf>
    <xf numFmtId="165" fontId="10" fillId="2" borderId="50" xfId="1" applyNumberFormat="1" applyFont="1" applyFill="1" applyBorder="1" applyAlignment="1" applyProtection="1">
      <alignment horizontal="right" vertical="center"/>
      <protection locked="0"/>
    </xf>
    <xf numFmtId="165" fontId="11" fillId="2" borderId="51" xfId="1" applyNumberFormat="1" applyFont="1" applyFill="1" applyBorder="1" applyAlignment="1" applyProtection="1">
      <alignment horizontal="center" vertical="center"/>
      <protection locked="0"/>
    </xf>
    <xf numFmtId="165" fontId="11" fillId="2" borderId="50" xfId="1" applyNumberFormat="1" applyFont="1" applyFill="1" applyBorder="1" applyAlignment="1" applyProtection="1">
      <alignment horizontal="right" vertical="center"/>
      <protection locked="0"/>
    </xf>
    <xf numFmtId="165" fontId="10" fillId="2" borderId="52" xfId="1" applyNumberFormat="1" applyFont="1" applyFill="1" applyBorder="1" applyAlignment="1" applyProtection="1">
      <alignment horizontal="left" vertical="center"/>
      <protection locked="0"/>
    </xf>
    <xf numFmtId="0" fontId="22" fillId="2" borderId="3" xfId="1" applyFont="1" applyFill="1" applyBorder="1" applyProtection="1">
      <protection locked="0"/>
    </xf>
    <xf numFmtId="0" fontId="10" fillId="2" borderId="53" xfId="1" applyFont="1" applyFill="1" applyBorder="1" applyAlignment="1" applyProtection="1">
      <alignment horizontal="left" vertical="center" indent="1"/>
      <protection locked="0"/>
    </xf>
    <xf numFmtId="165" fontId="10" fillId="2" borderId="54" xfId="1" applyNumberFormat="1" applyFont="1" applyFill="1" applyBorder="1" applyAlignment="1" applyProtection="1">
      <alignment horizontal="right" vertical="center"/>
      <protection locked="0"/>
    </xf>
    <xf numFmtId="0" fontId="11" fillId="2" borderId="55" xfId="1" applyFont="1" applyFill="1" applyBorder="1" applyAlignment="1" applyProtection="1">
      <alignment horizontal="center" vertical="center"/>
      <protection locked="0"/>
    </xf>
    <xf numFmtId="165" fontId="10" fillId="2" borderId="56" xfId="1" applyNumberFormat="1" applyFont="1" applyFill="1" applyBorder="1" applyAlignment="1" applyProtection="1">
      <alignment horizontal="left" vertical="center"/>
      <protection locked="0"/>
    </xf>
    <xf numFmtId="0" fontId="36" fillId="9" borderId="30" xfId="1" applyFont="1" applyFill="1" applyBorder="1" applyAlignment="1" applyProtection="1">
      <alignment vertical="center"/>
      <protection locked="0"/>
    </xf>
    <xf numFmtId="0" fontId="11" fillId="2" borderId="19" xfId="1" applyFont="1" applyFill="1" applyBorder="1" applyAlignment="1" applyProtection="1">
      <alignment vertical="center"/>
      <protection locked="0"/>
    </xf>
    <xf numFmtId="0" fontId="11" fillId="2" borderId="20" xfId="1" applyFont="1" applyFill="1" applyBorder="1" applyAlignment="1" applyProtection="1">
      <alignment vertical="center"/>
      <protection locked="0"/>
    </xf>
    <xf numFmtId="0" fontId="11" fillId="2" borderId="21" xfId="1" applyFont="1" applyFill="1" applyBorder="1" applyAlignment="1" applyProtection="1">
      <alignment vertical="center"/>
      <protection locked="0"/>
    </xf>
    <xf numFmtId="0" fontId="7" fillId="2" borderId="0" xfId="1" applyFont="1" applyFill="1" applyAlignment="1" applyProtection="1">
      <alignment vertical="center"/>
      <protection locked="0"/>
    </xf>
    <xf numFmtId="0" fontId="8" fillId="2" borderId="0" xfId="1" applyFont="1" applyFill="1" applyAlignment="1" applyProtection="1">
      <alignment vertical="center"/>
      <protection locked="0"/>
    </xf>
    <xf numFmtId="9" fontId="16" fillId="2" borderId="0" xfId="1" applyNumberFormat="1" applyFont="1" applyFill="1" applyAlignment="1" applyProtection="1">
      <alignment vertical="center"/>
      <protection locked="0"/>
    </xf>
    <xf numFmtId="0" fontId="27" fillId="2" borderId="0" xfId="1" applyFont="1" applyFill="1" applyAlignment="1" applyProtection="1">
      <alignment vertical="center" textRotation="90"/>
      <protection locked="0"/>
    </xf>
    <xf numFmtId="0" fontId="10" fillId="2" borderId="0" xfId="1" applyFont="1" applyFill="1" applyAlignment="1" applyProtection="1">
      <alignment vertical="center" textRotation="90"/>
      <protection locked="0"/>
    </xf>
    <xf numFmtId="49" fontId="10" fillId="3" borderId="0" xfId="1" applyNumberFormat="1" applyFont="1" applyFill="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0" fontId="41" fillId="6" borderId="0" xfId="1" applyFont="1" applyFill="1" applyAlignment="1" applyProtection="1">
      <alignment horizontal="left" vertical="center"/>
      <protection locked="0"/>
    </xf>
    <xf numFmtId="0" fontId="3" fillId="0" borderId="0" xfId="4"/>
    <xf numFmtId="0" fontId="3" fillId="0" borderId="0" xfId="4" applyAlignment="1">
      <alignment horizontal="left"/>
    </xf>
    <xf numFmtId="0" fontId="40" fillId="0" borderId="0" xfId="4" applyFont="1"/>
    <xf numFmtId="49" fontId="3" fillId="0" borderId="0" xfId="4" applyNumberFormat="1" applyAlignment="1">
      <alignment horizontal="left"/>
    </xf>
    <xf numFmtId="0" fontId="42" fillId="0" borderId="0" xfId="4" applyFont="1"/>
    <xf numFmtId="1" fontId="3" fillId="0" borderId="0" xfId="4" applyNumberFormat="1" applyAlignment="1">
      <alignment horizontal="left"/>
    </xf>
    <xf numFmtId="49" fontId="3" fillId="0" borderId="0" xfId="4" applyNumberFormat="1"/>
    <xf numFmtId="49" fontId="2" fillId="0" borderId="0" xfId="4" applyNumberFormat="1" applyFont="1" applyAlignment="1">
      <alignment horizontal="left"/>
    </xf>
    <xf numFmtId="49" fontId="2" fillId="0" borderId="0" xfId="4" applyNumberFormat="1" applyFont="1"/>
    <xf numFmtId="165" fontId="11" fillId="0" borderId="54" xfId="1" applyNumberFormat="1" applyFont="1" applyBorder="1" applyAlignment="1" applyProtection="1">
      <alignment horizontal="right" vertical="center"/>
      <protection locked="0"/>
    </xf>
    <xf numFmtId="49" fontId="32" fillId="8" borderId="63" xfId="1" applyNumberFormat="1" applyFont="1" applyFill="1" applyBorder="1" applyAlignment="1" applyProtection="1">
      <alignment horizontal="center" vertical="center"/>
      <protection locked="0"/>
    </xf>
    <xf numFmtId="49" fontId="32" fillId="8" borderId="64" xfId="1" applyNumberFormat="1" applyFont="1" applyFill="1" applyBorder="1" applyAlignment="1" applyProtection="1">
      <alignment horizontal="center" vertical="center"/>
      <protection locked="0"/>
    </xf>
    <xf numFmtId="0" fontId="1" fillId="0" borderId="0" xfId="5"/>
    <xf numFmtId="0" fontId="1" fillId="0" borderId="0" xfId="5" applyAlignment="1">
      <alignment horizontal="center"/>
    </xf>
    <xf numFmtId="0" fontId="46" fillId="0" borderId="0" xfId="5" applyFont="1"/>
    <xf numFmtId="0" fontId="47" fillId="0" borderId="0" xfId="5" applyFont="1" applyAlignment="1">
      <alignment vertical="center"/>
    </xf>
    <xf numFmtId="0" fontId="44" fillId="0" borderId="6" xfId="5" applyFont="1" applyBorder="1" applyAlignment="1">
      <alignment horizontal="center"/>
    </xf>
    <xf numFmtId="0" fontId="1" fillId="0" borderId="19" xfId="5" applyBorder="1"/>
    <xf numFmtId="49" fontId="1" fillId="7" borderId="0" xfId="5" applyNumberFormat="1" applyFill="1" applyAlignment="1">
      <alignment vertical="center"/>
    </xf>
    <xf numFmtId="0" fontId="44" fillId="0" borderId="2" xfId="5" applyFont="1" applyBorder="1" applyAlignment="1">
      <alignment horizontal="center"/>
    </xf>
    <xf numFmtId="0" fontId="44" fillId="0" borderId="9" xfId="5" applyFont="1" applyBorder="1"/>
    <xf numFmtId="0" fontId="44" fillId="0" borderId="11" xfId="5" applyFont="1" applyBorder="1"/>
    <xf numFmtId="0" fontId="1" fillId="0" borderId="20" xfId="5" applyBorder="1"/>
    <xf numFmtId="0" fontId="44" fillId="0" borderId="3" xfId="5" applyFont="1" applyBorder="1" applyAlignment="1">
      <alignment horizontal="center"/>
    </xf>
    <xf numFmtId="0" fontId="48" fillId="0" borderId="31" xfId="5" applyFont="1" applyBorder="1" applyAlignment="1">
      <alignment horizontal="center" vertical="top" wrapText="1"/>
    </xf>
    <xf numFmtId="0" fontId="48" fillId="0" borderId="13" xfId="5" applyFont="1" applyBorder="1" applyAlignment="1">
      <alignment horizontal="center" vertical="top" wrapText="1"/>
    </xf>
    <xf numFmtId="0" fontId="48" fillId="0" borderId="38" xfId="5" applyFont="1" applyBorder="1" applyAlignment="1">
      <alignment horizontal="center" vertical="top" wrapText="1"/>
    </xf>
    <xf numFmtId="0" fontId="48" fillId="0" borderId="37" xfId="5" applyFont="1" applyBorder="1" applyAlignment="1">
      <alignment horizontal="center" vertical="top" wrapText="1"/>
    </xf>
    <xf numFmtId="0" fontId="48" fillId="0" borderId="11" xfId="5" applyFont="1" applyBorder="1" applyAlignment="1">
      <alignment horizontal="center" vertical="top" wrapText="1"/>
    </xf>
    <xf numFmtId="0" fontId="48" fillId="0" borderId="24" xfId="5" applyFont="1" applyBorder="1" applyAlignment="1">
      <alignment horizontal="center" vertical="top"/>
    </xf>
    <xf numFmtId="0" fontId="48" fillId="0" borderId="27" xfId="5" applyFont="1" applyBorder="1" applyAlignment="1">
      <alignment horizontal="center" vertical="top"/>
    </xf>
    <xf numFmtId="0" fontId="48" fillId="0" borderId="37" xfId="5" applyFont="1" applyBorder="1" applyAlignment="1">
      <alignment horizontal="center" vertical="top"/>
    </xf>
    <xf numFmtId="0" fontId="48" fillId="0" borderId="27" xfId="5" applyFont="1" applyBorder="1" applyAlignment="1">
      <alignment horizontal="center" vertical="top" wrapText="1"/>
    </xf>
    <xf numFmtId="0" fontId="48" fillId="0" borderId="24" xfId="5" applyFont="1" applyBorder="1" applyAlignment="1">
      <alignment horizontal="center" vertical="top" wrapText="1"/>
    </xf>
    <xf numFmtId="0" fontId="48" fillId="0" borderId="15" xfId="5" applyFont="1" applyBorder="1" applyAlignment="1">
      <alignment horizontal="center" vertical="top" wrapText="1"/>
    </xf>
    <xf numFmtId="0" fontId="48" fillId="0" borderId="9" xfId="5" applyFont="1" applyBorder="1" applyAlignment="1">
      <alignment horizontal="center" vertical="top" wrapText="1"/>
    </xf>
    <xf numFmtId="0" fontId="44" fillId="0" borderId="21" xfId="5" applyFont="1" applyBorder="1" applyAlignment="1">
      <alignment horizontal="center"/>
    </xf>
    <xf numFmtId="0" fontId="44" fillId="0" borderId="2" xfId="5" applyFont="1" applyBorder="1" applyAlignment="1">
      <alignment horizontal="left"/>
    </xf>
    <xf numFmtId="0" fontId="44" fillId="0" borderId="20" xfId="5" applyFont="1" applyBorder="1" applyAlignment="1">
      <alignment horizontal="center"/>
    </xf>
    <xf numFmtId="49" fontId="50" fillId="10" borderId="66" xfId="6" applyNumberFormat="1" applyFont="1" applyFill="1" applyBorder="1" applyAlignment="1">
      <alignment horizontal="center"/>
    </xf>
    <xf numFmtId="49" fontId="51" fillId="11" borderId="65" xfId="6" applyNumberFormat="1" applyFont="1" applyFill="1" applyBorder="1" applyAlignment="1">
      <alignment horizontal="center"/>
    </xf>
    <xf numFmtId="49" fontId="51" fillId="11" borderId="42" xfId="6" applyNumberFormat="1" applyFont="1" applyFill="1" applyBorder="1" applyAlignment="1">
      <alignment horizontal="center"/>
    </xf>
    <xf numFmtId="49" fontId="51" fillId="11" borderId="22" xfId="6" applyNumberFormat="1" applyFont="1" applyFill="1" applyBorder="1" applyAlignment="1">
      <alignment horizontal="center"/>
    </xf>
    <xf numFmtId="49" fontId="51" fillId="11" borderId="25" xfId="6" applyNumberFormat="1" applyFont="1" applyFill="1" applyBorder="1" applyAlignment="1">
      <alignment horizontal="center"/>
    </xf>
    <xf numFmtId="0" fontId="52" fillId="12" borderId="67" xfId="5" applyFont="1" applyFill="1" applyBorder="1"/>
    <xf numFmtId="49" fontId="51" fillId="11" borderId="62" xfId="6" applyNumberFormat="1" applyFont="1" applyFill="1" applyBorder="1" applyAlignment="1">
      <alignment horizontal="center"/>
    </xf>
    <xf numFmtId="49" fontId="51" fillId="11" borderId="61" xfId="6" applyNumberFormat="1" applyFont="1" applyFill="1" applyBorder="1" applyAlignment="1">
      <alignment horizontal="center"/>
    </xf>
    <xf numFmtId="49" fontId="51" fillId="11" borderId="51" xfId="6" applyNumberFormat="1" applyFont="1" applyFill="1" applyBorder="1" applyAlignment="1">
      <alignment horizontal="center"/>
    </xf>
    <xf numFmtId="49" fontId="51" fillId="11" borderId="60" xfId="6" applyNumberFormat="1" applyFont="1" applyFill="1" applyBorder="1" applyAlignment="1">
      <alignment horizontal="center"/>
    </xf>
    <xf numFmtId="0" fontId="1" fillId="12" borderId="69" xfId="5" applyFill="1" applyBorder="1"/>
    <xf numFmtId="0" fontId="52" fillId="12" borderId="69" xfId="5" applyFont="1" applyFill="1" applyBorder="1"/>
    <xf numFmtId="49" fontId="50" fillId="10" borderId="68" xfId="6" applyNumberFormat="1" applyFont="1" applyFill="1" applyBorder="1" applyAlignment="1">
      <alignment horizontal="center"/>
    </xf>
    <xf numFmtId="0" fontId="52" fillId="12" borderId="70" xfId="5" applyFont="1" applyFill="1" applyBorder="1"/>
    <xf numFmtId="0" fontId="1" fillId="12" borderId="70" xfId="5" applyFill="1" applyBorder="1"/>
    <xf numFmtId="0" fontId="1" fillId="6" borderId="68" xfId="5" applyFill="1" applyBorder="1" applyAlignment="1">
      <alignment horizontal="center"/>
    </xf>
    <xf numFmtId="0" fontId="43" fillId="12" borderId="70" xfId="5" applyFont="1" applyFill="1" applyBorder="1"/>
    <xf numFmtId="0" fontId="1" fillId="7" borderId="0" xfId="5" applyFill="1" applyAlignment="1">
      <alignment vertical="center"/>
    </xf>
    <xf numFmtId="49" fontId="50" fillId="10" borderId="71" xfId="6" applyNumberFormat="1" applyFont="1" applyFill="1" applyBorder="1" applyAlignment="1">
      <alignment horizontal="right"/>
    </xf>
    <xf numFmtId="49" fontId="50" fillId="10" borderId="71" xfId="6" applyNumberFormat="1" applyFont="1" applyFill="1" applyBorder="1" applyAlignment="1">
      <alignment horizontal="center"/>
    </xf>
    <xf numFmtId="0" fontId="1" fillId="12" borderId="72" xfId="5" applyFill="1" applyBorder="1"/>
    <xf numFmtId="0" fontId="1" fillId="0" borderId="0" xfId="5" applyAlignment="1">
      <alignment horizontal="center" vertical="center"/>
    </xf>
    <xf numFmtId="0" fontId="1" fillId="0" borderId="0" xfId="5" applyAlignment="1">
      <alignment horizontal="left" vertical="top"/>
    </xf>
    <xf numFmtId="0" fontId="50" fillId="10" borderId="0" xfId="6" applyFont="1" applyFill="1" applyAlignment="1">
      <alignment horizontal="left"/>
    </xf>
    <xf numFmtId="0" fontId="1" fillId="0" borderId="0" xfId="5" applyAlignment="1">
      <alignment vertical="center"/>
    </xf>
    <xf numFmtId="49" fontId="51" fillId="11" borderId="73" xfId="6" applyNumberFormat="1" applyFont="1" applyFill="1" applyBorder="1" applyAlignment="1">
      <alignment horizontal="center"/>
    </xf>
    <xf numFmtId="49" fontId="51" fillId="11" borderId="63" xfId="6" applyNumberFormat="1" applyFont="1" applyFill="1" applyBorder="1" applyAlignment="1">
      <alignment horizontal="center"/>
    </xf>
    <xf numFmtId="49" fontId="51" fillId="11" borderId="64" xfId="6" applyNumberFormat="1" applyFont="1" applyFill="1" applyBorder="1" applyAlignment="1">
      <alignment horizontal="center"/>
    </xf>
    <xf numFmtId="49" fontId="51" fillId="11" borderId="55" xfId="6" applyNumberFormat="1" applyFont="1" applyFill="1" applyBorder="1" applyAlignment="1">
      <alignment horizontal="center"/>
    </xf>
    <xf numFmtId="0" fontId="44" fillId="0" borderId="9" xfId="5" applyFont="1" applyBorder="1" applyAlignment="1">
      <alignment horizontal="center" vertical="center"/>
    </xf>
    <xf numFmtId="0" fontId="48" fillId="0" borderId="27" xfId="5" applyFont="1" applyBorder="1" applyAlignment="1">
      <alignment horizontal="center" vertical="center" wrapText="1"/>
    </xf>
    <xf numFmtId="0" fontId="48" fillId="0" borderId="38" xfId="5" applyFont="1" applyBorder="1" applyAlignment="1">
      <alignment horizontal="center" vertical="center" wrapText="1"/>
    </xf>
    <xf numFmtId="0" fontId="44" fillId="0" borderId="38" xfId="5" applyFont="1" applyBorder="1" applyAlignment="1">
      <alignment horizontal="center" vertical="center"/>
    </xf>
    <xf numFmtId="49" fontId="53" fillId="10" borderId="7" xfId="6" applyNumberFormat="1" applyFont="1" applyFill="1" applyBorder="1" applyAlignment="1">
      <alignment horizontal="center" vertical="center"/>
    </xf>
    <xf numFmtId="0" fontId="44" fillId="0" borderId="15" xfId="5" applyFont="1" applyBorder="1" applyAlignment="1">
      <alignment horizontal="center" vertical="center"/>
    </xf>
    <xf numFmtId="0" fontId="45" fillId="0" borderId="0" xfId="5" applyFont="1" applyAlignment="1">
      <alignment vertical="center"/>
    </xf>
    <xf numFmtId="49" fontId="2" fillId="0" borderId="0" xfId="4" quotePrefix="1" applyNumberFormat="1" applyFont="1"/>
    <xf numFmtId="0" fontId="25" fillId="0" borderId="7" xfId="1" applyFont="1" applyBorder="1" applyAlignment="1">
      <alignment horizontal="center" vertical="center"/>
    </xf>
    <xf numFmtId="0" fontId="25" fillId="0" borderId="1" xfId="1" applyFont="1" applyBorder="1" applyAlignment="1">
      <alignment horizontal="center" vertical="center"/>
    </xf>
    <xf numFmtId="0" fontId="25" fillId="0" borderId="17" xfId="1" applyFont="1" applyBorder="1" applyAlignment="1">
      <alignment horizontal="center" vertical="center"/>
    </xf>
    <xf numFmtId="49" fontId="10" fillId="3" borderId="0" xfId="1" applyNumberFormat="1" applyFont="1" applyFill="1" applyAlignment="1">
      <alignment horizontal="center"/>
    </xf>
    <xf numFmtId="49" fontId="10" fillId="8" borderId="2" xfId="1" applyNumberFormat="1" applyFont="1" applyFill="1" applyBorder="1" applyAlignment="1">
      <alignment horizontal="center"/>
    </xf>
    <xf numFmtId="0" fontId="10" fillId="0" borderId="5" xfId="1" applyFont="1" applyBorder="1" applyAlignment="1">
      <alignment horizontal="center"/>
    </xf>
    <xf numFmtId="0" fontId="11" fillId="0" borderId="3" xfId="1" applyFont="1" applyBorder="1" applyAlignment="1">
      <alignment horizontal="center"/>
    </xf>
    <xf numFmtId="49" fontId="32" fillId="8" borderId="77" xfId="1" applyNumberFormat="1" applyFont="1" applyFill="1" applyBorder="1" applyAlignment="1" applyProtection="1">
      <alignment horizontal="center" vertical="center"/>
      <protection locked="0"/>
    </xf>
    <xf numFmtId="49" fontId="32" fillId="8" borderId="74" xfId="1" applyNumberFormat="1" applyFont="1" applyFill="1" applyBorder="1" applyAlignment="1" applyProtection="1">
      <alignment horizontal="center" vertical="center"/>
      <protection locked="0"/>
    </xf>
    <xf numFmtId="49" fontId="32" fillId="8" borderId="78" xfId="1" applyNumberFormat="1" applyFont="1" applyFill="1" applyBorder="1" applyAlignment="1" applyProtection="1">
      <alignment horizontal="center" vertical="center"/>
      <protection locked="0"/>
    </xf>
    <xf numFmtId="49" fontId="32" fillId="8" borderId="55" xfId="1" applyNumberFormat="1" applyFont="1" applyFill="1" applyBorder="1" applyAlignment="1" applyProtection="1">
      <alignment horizontal="center" vertical="center"/>
      <protection locked="0"/>
    </xf>
    <xf numFmtId="168" fontId="24" fillId="0" borderId="5" xfId="1" applyNumberFormat="1" applyFont="1" applyBorder="1" applyAlignment="1">
      <alignment horizontal="right" indent="1"/>
    </xf>
    <xf numFmtId="0" fontId="25" fillId="0" borderId="3" xfId="1" applyFont="1" applyBorder="1"/>
    <xf numFmtId="168" fontId="24" fillId="0" borderId="4" xfId="1" applyNumberFormat="1" applyFont="1" applyBorder="1" applyAlignment="1">
      <alignment horizontal="right" indent="1"/>
    </xf>
    <xf numFmtId="0" fontId="10" fillId="13" borderId="0" xfId="0" applyFont="1" applyFill="1"/>
    <xf numFmtId="0" fontId="25" fillId="0" borderId="12" xfId="1" applyFont="1" applyBorder="1" applyAlignment="1">
      <alignment horizontal="center" vertical="center"/>
    </xf>
    <xf numFmtId="165" fontId="24" fillId="0" borderId="1" xfId="1" applyNumberFormat="1" applyFont="1" applyBorder="1" applyAlignment="1">
      <alignment horizontal="center"/>
    </xf>
    <xf numFmtId="2" fontId="24" fillId="8" borderId="0" xfId="1" applyNumberFormat="1" applyFont="1" applyFill="1"/>
    <xf numFmtId="0" fontId="33" fillId="0" borderId="76" xfId="1" applyFont="1" applyBorder="1" applyAlignment="1">
      <alignment horizontal="center" vertical="center"/>
    </xf>
    <xf numFmtId="0" fontId="33" fillId="0" borderId="17" xfId="1" applyFont="1" applyBorder="1" applyAlignment="1">
      <alignment horizontal="center" vertical="center"/>
    </xf>
    <xf numFmtId="167" fontId="24" fillId="0" borderId="5" xfId="1" applyNumberFormat="1" applyFont="1" applyBorder="1" applyAlignment="1">
      <alignment horizontal="right" indent="1"/>
    </xf>
    <xf numFmtId="2" fontId="24" fillId="8" borderId="32" xfId="1" applyNumberFormat="1" applyFont="1" applyFill="1" applyBorder="1"/>
    <xf numFmtId="2" fontId="24" fillId="8" borderId="31" xfId="1" applyNumberFormat="1" applyFont="1" applyFill="1" applyBorder="1"/>
    <xf numFmtId="0" fontId="24" fillId="0" borderId="5" xfId="1" applyFont="1" applyBorder="1" applyAlignment="1">
      <alignment horizontal="left"/>
    </xf>
    <xf numFmtId="0" fontId="25" fillId="0" borderId="32" xfId="1" applyFont="1" applyBorder="1" applyAlignment="1">
      <alignment horizontal="center" vertical="center"/>
    </xf>
    <xf numFmtId="2" fontId="24" fillId="8" borderId="1" xfId="1" applyNumberFormat="1" applyFont="1" applyFill="1" applyBorder="1"/>
    <xf numFmtId="0" fontId="25" fillId="0" borderId="32" xfId="1" applyFont="1" applyBorder="1" applyAlignment="1">
      <alignment vertical="center"/>
    </xf>
    <xf numFmtId="0" fontId="25" fillId="0" borderId="1" xfId="1" applyFont="1" applyBorder="1" applyAlignment="1">
      <alignment vertical="center"/>
    </xf>
    <xf numFmtId="0" fontId="58" fillId="6" borderId="0" xfId="1" applyFont="1" applyFill="1" applyProtection="1">
      <protection locked="0"/>
    </xf>
    <xf numFmtId="0" fontId="58" fillId="2" borderId="0" xfId="1" applyFont="1" applyFill="1" applyProtection="1">
      <protection locked="0"/>
    </xf>
    <xf numFmtId="0" fontId="11" fillId="6" borderId="0" xfId="1" applyFont="1" applyFill="1"/>
    <xf numFmtId="0" fontId="11" fillId="0" borderId="4" xfId="1" applyFont="1" applyBorder="1" applyAlignment="1">
      <alignment horizontal="center"/>
    </xf>
    <xf numFmtId="0" fontId="10" fillId="0" borderId="8" xfId="1" applyFont="1" applyBorder="1" applyAlignment="1">
      <alignment horizontal="right" indent="1"/>
    </xf>
    <xf numFmtId="0" fontId="11" fillId="0" borderId="3" xfId="1" applyFont="1" applyBorder="1"/>
    <xf numFmtId="0" fontId="10" fillId="0" borderId="4" xfId="1" applyFont="1" applyBorder="1" applyAlignment="1">
      <alignment horizontal="left"/>
    </xf>
    <xf numFmtId="49" fontId="10" fillId="6" borderId="0" xfId="1" applyNumberFormat="1" applyFont="1" applyFill="1"/>
    <xf numFmtId="0" fontId="10" fillId="0" borderId="7" xfId="1" applyFont="1" applyBorder="1" applyAlignment="1">
      <alignment horizontal="right" indent="1"/>
    </xf>
    <xf numFmtId="0" fontId="10" fillId="0" borderId="0" xfId="1" applyFont="1" applyAlignment="1">
      <alignment horizontal="left"/>
    </xf>
    <xf numFmtId="165" fontId="10" fillId="0" borderId="5" xfId="1" applyNumberFormat="1" applyFont="1" applyBorder="1" applyAlignment="1">
      <alignment horizontal="center"/>
    </xf>
    <xf numFmtId="2" fontId="10" fillId="0" borderId="2" xfId="1" applyNumberFormat="1" applyFont="1" applyBorder="1"/>
    <xf numFmtId="0" fontId="10" fillId="0" borderId="0" xfId="1" applyFont="1" applyAlignment="1">
      <alignment horizontal="right"/>
    </xf>
    <xf numFmtId="49" fontId="10" fillId="0" borderId="5" xfId="1" applyNumberFormat="1" applyFont="1" applyBorder="1" applyAlignment="1">
      <alignment horizontal="center"/>
    </xf>
    <xf numFmtId="49" fontId="10" fillId="3" borderId="2" xfId="1" applyNumberFormat="1" applyFont="1" applyFill="1" applyBorder="1" applyAlignment="1">
      <alignment horizontal="center"/>
    </xf>
    <xf numFmtId="0" fontId="11" fillId="0" borderId="49" xfId="1" applyFont="1" applyBorder="1"/>
    <xf numFmtId="0" fontId="11" fillId="0" borderId="50" xfId="1" applyFont="1" applyBorder="1"/>
    <xf numFmtId="0" fontId="11" fillId="2" borderId="0" xfId="1" applyFont="1" applyFill="1" applyAlignment="1">
      <alignment horizontal="center"/>
    </xf>
    <xf numFmtId="0" fontId="11" fillId="0" borderId="2" xfId="1" applyFont="1" applyBorder="1"/>
    <xf numFmtId="1" fontId="10" fillId="0" borderId="5" xfId="1" applyNumberFormat="1" applyFont="1" applyBorder="1" applyAlignment="1">
      <alignment horizontal="center"/>
    </xf>
    <xf numFmtId="0" fontId="10" fillId="0" borderId="68" xfId="1" applyFont="1" applyBorder="1"/>
    <xf numFmtId="0" fontId="11" fillId="0" borderId="50" xfId="1" applyFont="1" applyBorder="1" applyAlignment="1">
      <alignment horizontal="left" indent="1"/>
    </xf>
    <xf numFmtId="2" fontId="10" fillId="0" borderId="68" xfId="1" applyNumberFormat="1" applyFont="1" applyBorder="1" applyAlignment="1">
      <alignment horizontal="center"/>
    </xf>
    <xf numFmtId="1" fontId="11" fillId="0" borderId="52" xfId="1" applyNumberFormat="1" applyFont="1" applyBorder="1" applyAlignment="1">
      <alignment horizontal="center"/>
    </xf>
    <xf numFmtId="2" fontId="10" fillId="0" borderId="2" xfId="1" applyNumberFormat="1" applyFont="1" applyBorder="1" applyAlignment="1">
      <alignment horizontal="center"/>
    </xf>
    <xf numFmtId="0" fontId="24" fillId="0" borderId="0" xfId="1" applyFont="1" applyAlignment="1">
      <alignment horizontal="right" wrapText="1"/>
    </xf>
    <xf numFmtId="0" fontId="25" fillId="0" borderId="50" xfId="1" applyFont="1" applyBorder="1" applyAlignment="1">
      <alignment horizontal="left" wrapText="1"/>
    </xf>
    <xf numFmtId="0" fontId="5" fillId="6" borderId="0" xfId="1" applyFill="1"/>
    <xf numFmtId="2" fontId="10" fillId="8" borderId="2" xfId="1" applyNumberFormat="1" applyFont="1" applyFill="1" applyBorder="1" applyAlignment="1">
      <alignment horizontal="center"/>
    </xf>
    <xf numFmtId="2" fontId="10" fillId="0" borderId="5" xfId="1" applyNumberFormat="1" applyFont="1" applyBorder="1"/>
    <xf numFmtId="0" fontId="11" fillId="0" borderId="0" xfId="1" applyFont="1" applyAlignment="1">
      <alignment wrapText="1"/>
    </xf>
    <xf numFmtId="0" fontId="10" fillId="0" borderId="3" xfId="1" applyFont="1" applyBorder="1"/>
    <xf numFmtId="0" fontId="11" fillId="0" borderId="12" xfId="1" applyFont="1" applyBorder="1"/>
    <xf numFmtId="164" fontId="10" fillId="6" borderId="0" xfId="1" applyNumberFormat="1" applyFont="1" applyFill="1"/>
    <xf numFmtId="49" fontId="50" fillId="13" borderId="66" xfId="6" applyNumberFormat="1" applyFont="1" applyFill="1" applyBorder="1" applyAlignment="1">
      <alignment horizontal="right"/>
    </xf>
    <xf numFmtId="49" fontId="50" fillId="13" borderId="68" xfId="6" applyNumberFormat="1" applyFont="1" applyFill="1" applyBorder="1" applyAlignment="1">
      <alignment horizontal="right"/>
    </xf>
    <xf numFmtId="0" fontId="1" fillId="13" borderId="68" xfId="5" applyFill="1" applyBorder="1" applyAlignment="1">
      <alignment horizontal="right"/>
    </xf>
    <xf numFmtId="0" fontId="59" fillId="2" borderId="0" xfId="1" applyFont="1" applyFill="1"/>
    <xf numFmtId="0" fontId="18" fillId="2" borderId="0" xfId="1" applyFont="1" applyFill="1"/>
    <xf numFmtId="0" fontId="11" fillId="0" borderId="2" xfId="1" applyFont="1" applyBorder="1" applyAlignment="1">
      <alignment horizontal="center"/>
    </xf>
    <xf numFmtId="0" fontId="11" fillId="0" borderId="0" xfId="1" applyFont="1"/>
    <xf numFmtId="0" fontId="10" fillId="0" borderId="3" xfId="1" applyFont="1" applyBorder="1" applyAlignment="1">
      <alignment horizontal="center"/>
    </xf>
    <xf numFmtId="0" fontId="10" fillId="0" borderId="12" xfId="1" applyFont="1" applyBorder="1" applyAlignment="1">
      <alignment horizontal="right" indent="1"/>
    </xf>
    <xf numFmtId="9" fontId="9" fillId="0" borderId="38" xfId="2" applyFont="1" applyFill="1" applyBorder="1" applyAlignment="1" applyProtection="1">
      <alignment horizontal="center" vertical="distributed"/>
    </xf>
    <xf numFmtId="9" fontId="9" fillId="0" borderId="27" xfId="2" applyFont="1" applyFill="1" applyBorder="1" applyAlignment="1" applyProtection="1">
      <alignment horizontal="center" vertical="distributed"/>
    </xf>
    <xf numFmtId="9" fontId="9" fillId="0" borderId="37" xfId="2" applyFont="1" applyFill="1" applyBorder="1" applyAlignment="1" applyProtection="1">
      <alignment horizontal="center" vertical="distributed"/>
    </xf>
    <xf numFmtId="9" fontId="9" fillId="0" borderId="24" xfId="2" applyFont="1" applyBorder="1" applyAlignment="1" applyProtection="1">
      <alignment horizontal="center" vertical="distributed"/>
    </xf>
    <xf numFmtId="9" fontId="9" fillId="0" borderId="27" xfId="2" applyFont="1" applyBorder="1" applyAlignment="1" applyProtection="1">
      <alignment horizontal="center" vertical="distributed"/>
    </xf>
    <xf numFmtId="9" fontId="9" fillId="0" borderId="37" xfId="2" applyFont="1" applyBorder="1" applyAlignment="1" applyProtection="1">
      <alignment horizontal="center" vertical="distributed"/>
    </xf>
    <xf numFmtId="170" fontId="13" fillId="0" borderId="7" xfId="1" applyNumberFormat="1" applyFont="1" applyBorder="1" applyAlignment="1">
      <alignment horizontal="right" indent="1"/>
    </xf>
    <xf numFmtId="170" fontId="13" fillId="0" borderId="0" xfId="1" applyNumberFormat="1" applyFont="1" applyAlignment="1">
      <alignment horizontal="right" indent="1"/>
    </xf>
    <xf numFmtId="170" fontId="13" fillId="0" borderId="12" xfId="1" applyNumberFormat="1" applyFont="1" applyBorder="1" applyAlignment="1">
      <alignment horizontal="right" indent="1"/>
    </xf>
    <xf numFmtId="9" fontId="9" fillId="0" borderId="38" xfId="2" applyFont="1" applyBorder="1" applyAlignment="1" applyProtection="1">
      <alignment horizontal="center" vertical="distributed"/>
    </xf>
    <xf numFmtId="9" fontId="9" fillId="0" borderId="15" xfId="2" applyFont="1" applyBorder="1" applyAlignment="1" applyProtection="1">
      <alignment horizontal="center" vertical="distributed"/>
    </xf>
    <xf numFmtId="170" fontId="13" fillId="0" borderId="8" xfId="1" applyNumberFormat="1" applyFont="1" applyBorder="1" applyAlignment="1">
      <alignment horizontal="right" indent="1"/>
    </xf>
    <xf numFmtId="170" fontId="13" fillId="0" borderId="5" xfId="1" applyNumberFormat="1" applyFont="1" applyBorder="1" applyAlignment="1">
      <alignment horizontal="right" indent="1"/>
    </xf>
    <xf numFmtId="170" fontId="13" fillId="0" borderId="4" xfId="1" applyNumberFormat="1" applyFont="1" applyBorder="1" applyAlignment="1">
      <alignment horizontal="right" indent="1"/>
    </xf>
    <xf numFmtId="49" fontId="10" fillId="0" borderId="2" xfId="0" applyNumberFormat="1" applyFont="1" applyBorder="1" applyAlignment="1">
      <alignment horizontal="center"/>
    </xf>
    <xf numFmtId="0" fontId="24" fillId="0" borderId="5" xfId="1" applyFont="1" applyBorder="1" applyAlignment="1">
      <alignment horizontal="left" indent="1"/>
    </xf>
    <xf numFmtId="0" fontId="24" fillId="0" borderId="5" xfId="1" quotePrefix="1" applyFont="1" applyBorder="1" applyAlignment="1">
      <alignment horizontal="right" indent="1"/>
    </xf>
    <xf numFmtId="49" fontId="10" fillId="0" borderId="3" xfId="0" applyNumberFormat="1" applyFont="1" applyBorder="1" applyAlignment="1">
      <alignment horizontal="center"/>
    </xf>
    <xf numFmtId="0" fontId="24" fillId="0" borderId="4" xfId="1" quotePrefix="1" applyFont="1" applyBorder="1" applyAlignment="1">
      <alignment horizontal="right" indent="1"/>
    </xf>
    <xf numFmtId="0" fontId="56" fillId="0" borderId="11" xfId="1" applyFont="1" applyBorder="1" applyAlignment="1">
      <alignment horizontal="center"/>
    </xf>
    <xf numFmtId="0" fontId="56" fillId="0" borderId="10" xfId="1" applyFont="1" applyBorder="1" applyAlignment="1">
      <alignment horizontal="center"/>
    </xf>
    <xf numFmtId="49" fontId="10" fillId="0" borderId="5" xfId="0" applyNumberFormat="1" applyFont="1" applyBorder="1" applyAlignment="1">
      <alignment horizontal="center"/>
    </xf>
    <xf numFmtId="165" fontId="10" fillId="0" borderId="8" xfId="0" applyNumberFormat="1" applyFont="1" applyBorder="1" applyAlignment="1">
      <alignment horizontal="center"/>
    </xf>
    <xf numFmtId="49" fontId="10" fillId="0" borderId="4" xfId="0" applyNumberFormat="1" applyFont="1" applyBorder="1" applyAlignment="1">
      <alignment horizontal="center"/>
    </xf>
    <xf numFmtId="165" fontId="10" fillId="0" borderId="4" xfId="0" applyNumberFormat="1" applyFont="1" applyBorder="1" applyAlignment="1">
      <alignment horizontal="center"/>
    </xf>
    <xf numFmtId="165" fontId="17" fillId="0" borderId="27" xfId="1" applyNumberFormat="1" applyFont="1" applyBorder="1" applyAlignment="1">
      <alignment horizontal="center"/>
    </xf>
    <xf numFmtId="165" fontId="17" fillId="0" borderId="10" xfId="1" applyNumberFormat="1" applyFont="1" applyBorder="1" applyAlignment="1">
      <alignment horizontal="center"/>
    </xf>
    <xf numFmtId="0" fontId="10" fillId="2" borderId="5" xfId="1" applyFont="1" applyFill="1" applyBorder="1"/>
    <xf numFmtId="0" fontId="10" fillId="0" borderId="0" xfId="1" applyFont="1" applyAlignment="1">
      <alignment horizontal="center"/>
    </xf>
    <xf numFmtId="0" fontId="24" fillId="0" borderId="20" xfId="1" quotePrefix="1" applyFont="1" applyBorder="1" applyAlignment="1">
      <alignment horizontal="right" indent="1"/>
    </xf>
    <xf numFmtId="0" fontId="24" fillId="0" borderId="32" xfId="1" quotePrefix="1" applyFont="1" applyBorder="1" applyAlignment="1">
      <alignment horizontal="right" indent="1"/>
    </xf>
    <xf numFmtId="49" fontId="10" fillId="2" borderId="0" xfId="1" applyNumberFormat="1" applyFont="1" applyFill="1"/>
    <xf numFmtId="0" fontId="24" fillId="0" borderId="21" xfId="1" quotePrefix="1" applyFont="1" applyBorder="1" applyAlignment="1">
      <alignment horizontal="right" indent="1"/>
    </xf>
    <xf numFmtId="0" fontId="24" fillId="0" borderId="31" xfId="1" quotePrefix="1" applyFont="1" applyBorder="1" applyAlignment="1">
      <alignment horizontal="right" indent="1"/>
    </xf>
    <xf numFmtId="0" fontId="24" fillId="6" borderId="0" xfId="1" applyFont="1" applyFill="1" applyAlignment="1">
      <alignment horizontal="right" indent="1"/>
    </xf>
    <xf numFmtId="0" fontId="11" fillId="0" borderId="5" xfId="1" applyFont="1" applyBorder="1"/>
    <xf numFmtId="0" fontId="10" fillId="0" borderId="2" xfId="1" applyFont="1" applyBorder="1" applyAlignment="1">
      <alignment horizontal="center"/>
    </xf>
    <xf numFmtId="0" fontId="11" fillId="0" borderId="4" xfId="1" applyFont="1" applyBorder="1"/>
    <xf numFmtId="0" fontId="25" fillId="0" borderId="0" xfId="1" applyFont="1"/>
    <xf numFmtId="0" fontId="25" fillId="0" borderId="12" xfId="1" applyFont="1" applyBorder="1"/>
    <xf numFmtId="165" fontId="10" fillId="2" borderId="0" xfId="1" applyNumberFormat="1" applyFont="1" applyFill="1"/>
    <xf numFmtId="2" fontId="10" fillId="8" borderId="75" xfId="1" applyNumberFormat="1" applyFont="1" applyFill="1" applyBorder="1" applyAlignment="1" applyProtection="1">
      <alignment horizontal="center"/>
      <protection locked="0"/>
    </xf>
    <xf numFmtId="2" fontId="10" fillId="8" borderId="26" xfId="1" applyNumberFormat="1" applyFont="1" applyFill="1" applyBorder="1" applyAlignment="1" applyProtection="1">
      <alignment horizontal="center"/>
      <protection locked="0"/>
    </xf>
    <xf numFmtId="2" fontId="10" fillId="8" borderId="26" xfId="0" applyNumberFormat="1" applyFont="1" applyFill="1" applyBorder="1" applyAlignment="1" applyProtection="1">
      <alignment horizontal="center"/>
      <protection locked="0"/>
    </xf>
    <xf numFmtId="2" fontId="10" fillId="8" borderId="28" xfId="0" applyNumberFormat="1" applyFont="1" applyFill="1" applyBorder="1" applyAlignment="1" applyProtection="1">
      <alignment horizontal="center"/>
      <protection locked="0"/>
    </xf>
    <xf numFmtId="49" fontId="10" fillId="8" borderId="17" xfId="0" applyNumberFormat="1" applyFont="1" applyFill="1" applyBorder="1" applyProtection="1">
      <protection locked="0"/>
    </xf>
    <xf numFmtId="49" fontId="10" fillId="8" borderId="1" xfId="0" applyNumberFormat="1" applyFont="1" applyFill="1" applyBorder="1" applyProtection="1">
      <protection locked="0"/>
    </xf>
    <xf numFmtId="49" fontId="10" fillId="8" borderId="13" xfId="0" applyNumberFormat="1" applyFont="1" applyFill="1" applyBorder="1" applyProtection="1">
      <protection locked="0"/>
    </xf>
    <xf numFmtId="0" fontId="10" fillId="8" borderId="75" xfId="1" applyFont="1" applyFill="1" applyBorder="1" applyAlignment="1" applyProtection="1">
      <alignment horizontal="center"/>
      <protection locked="0"/>
    </xf>
    <xf numFmtId="0" fontId="10" fillId="8" borderId="26" xfId="1" applyFont="1" applyFill="1" applyBorder="1" applyAlignment="1" applyProtection="1">
      <alignment horizontal="center"/>
      <protection locked="0"/>
    </xf>
    <xf numFmtId="0" fontId="10" fillId="0" borderId="75" xfId="0" applyFont="1" applyBorder="1" applyAlignment="1" applyProtection="1">
      <alignment horizontal="center"/>
      <protection locked="0"/>
    </xf>
    <xf numFmtId="0" fontId="10" fillId="0" borderId="26" xfId="0" applyFont="1" applyBorder="1" applyAlignment="1" applyProtection="1">
      <alignment horizontal="center"/>
      <protection locked="0"/>
    </xf>
    <xf numFmtId="49" fontId="10" fillId="0" borderId="26" xfId="0" applyNumberFormat="1" applyFont="1" applyBorder="1" applyAlignment="1" applyProtection="1">
      <alignment horizontal="center"/>
      <protection locked="0"/>
    </xf>
    <xf numFmtId="49" fontId="10" fillId="0" borderId="28" xfId="0" applyNumberFormat="1" applyFont="1" applyBorder="1" applyAlignment="1" applyProtection="1">
      <alignment horizontal="center"/>
      <protection locked="0"/>
    </xf>
    <xf numFmtId="49" fontId="10" fillId="0" borderId="76" xfId="0" applyNumberFormat="1" applyFont="1" applyBorder="1" applyProtection="1">
      <protection locked="0"/>
    </xf>
    <xf numFmtId="49" fontId="10" fillId="0" borderId="32" xfId="0" applyNumberFormat="1" applyFont="1" applyBorder="1" applyProtection="1">
      <protection locked="0"/>
    </xf>
    <xf numFmtId="49" fontId="10" fillId="0" borderId="31" xfId="0" applyNumberFormat="1" applyFont="1" applyBorder="1" applyProtection="1">
      <protection locked="0"/>
    </xf>
    <xf numFmtId="2" fontId="24" fillId="14" borderId="0" xfId="1" applyNumberFormat="1" applyFont="1" applyFill="1"/>
    <xf numFmtId="2" fontId="24" fillId="14" borderId="14" xfId="1" applyNumberFormat="1" applyFont="1" applyFill="1" applyBorder="1"/>
    <xf numFmtId="0" fontId="24" fillId="6" borderId="0" xfId="1" applyFont="1" applyFill="1" applyAlignment="1">
      <alignment horizontal="left"/>
    </xf>
    <xf numFmtId="0" fontId="10" fillId="8" borderId="2" xfId="0" applyFont="1" applyFill="1" applyBorder="1" applyAlignment="1">
      <alignment horizontal="center"/>
    </xf>
    <xf numFmtId="0" fontId="32" fillId="8" borderId="65" xfId="1" applyFont="1" applyFill="1" applyBorder="1" applyAlignment="1" applyProtection="1">
      <alignment horizontal="center" vertical="center"/>
      <protection locked="0"/>
    </xf>
    <xf numFmtId="0" fontId="32" fillId="8" borderId="25" xfId="1" applyFont="1" applyFill="1" applyBorder="1" applyAlignment="1" applyProtection="1">
      <alignment horizontal="center" vertical="center"/>
      <protection locked="0"/>
    </xf>
    <xf numFmtId="0" fontId="32" fillId="8" borderId="42" xfId="1" applyFont="1" applyFill="1" applyBorder="1" applyAlignment="1" applyProtection="1">
      <alignment horizontal="center" vertical="center"/>
      <protection locked="0"/>
    </xf>
    <xf numFmtId="0" fontId="32" fillId="8" borderId="79" xfId="1" applyFont="1" applyFill="1" applyBorder="1" applyAlignment="1" applyProtection="1">
      <alignment horizontal="center" vertical="center"/>
      <protection locked="0"/>
    </xf>
    <xf numFmtId="0" fontId="32" fillId="8" borderId="80" xfId="1" applyFont="1" applyFill="1" applyBorder="1" applyAlignment="1" applyProtection="1">
      <alignment horizontal="center" vertical="center"/>
      <protection locked="0"/>
    </xf>
    <xf numFmtId="0" fontId="32" fillId="8" borderId="81" xfId="1" applyFont="1" applyFill="1" applyBorder="1" applyAlignment="1" applyProtection="1">
      <alignment horizontal="center" vertical="center"/>
      <protection locked="0"/>
    </xf>
    <xf numFmtId="0" fontId="32" fillId="8" borderId="73" xfId="1" applyFont="1" applyFill="1" applyBorder="1" applyAlignment="1" applyProtection="1">
      <alignment horizontal="center" vertical="center"/>
      <protection locked="0"/>
    </xf>
    <xf numFmtId="0" fontId="32" fillId="8" borderId="82" xfId="1" applyFont="1" applyFill="1" applyBorder="1" applyAlignment="1" applyProtection="1">
      <alignment horizontal="center" vertical="center"/>
      <protection locked="0"/>
    </xf>
    <xf numFmtId="0" fontId="32" fillId="8" borderId="83" xfId="1" applyFont="1" applyFill="1" applyBorder="1" applyAlignment="1" applyProtection="1">
      <alignment horizontal="center" vertical="center"/>
      <protection locked="0"/>
    </xf>
    <xf numFmtId="0" fontId="51" fillId="11" borderId="65" xfId="6" applyFont="1" applyFill="1" applyBorder="1" applyAlignment="1">
      <alignment horizontal="center"/>
    </xf>
    <xf numFmtId="0" fontId="24" fillId="0" borderId="0" xfId="1" applyFont="1" applyAlignment="1">
      <alignment horizontal="center"/>
    </xf>
    <xf numFmtId="0" fontId="25" fillId="0" borderId="0" xfId="1" applyFont="1" applyAlignment="1">
      <alignment horizontal="center"/>
    </xf>
    <xf numFmtId="49" fontId="24" fillId="0" borderId="0" xfId="1" applyNumberFormat="1" applyFont="1" applyAlignment="1">
      <alignment horizontal="center"/>
    </xf>
    <xf numFmtId="0" fontId="12" fillId="0" borderId="10" xfId="1" applyFont="1" applyBorder="1" applyAlignment="1">
      <alignment horizontal="center" vertical="center"/>
    </xf>
    <xf numFmtId="0" fontId="10" fillId="0" borderId="2" xfId="1" applyFont="1" applyBorder="1" applyAlignment="1">
      <alignment horizontal="right" indent="1"/>
    </xf>
    <xf numFmtId="165" fontId="11" fillId="0" borderId="40" xfId="1" applyNumberFormat="1" applyFont="1" applyBorder="1" applyAlignment="1" applyProtection="1">
      <alignment horizontal="right" vertical="center"/>
      <protection locked="0"/>
    </xf>
    <xf numFmtId="165" fontId="11" fillId="0" borderId="50" xfId="1" applyNumberFormat="1" applyFont="1" applyBorder="1" applyAlignment="1" applyProtection="1">
      <alignment horizontal="right" vertical="center"/>
      <protection locked="0"/>
    </xf>
    <xf numFmtId="0" fontId="24" fillId="0" borderId="8" xfId="1" applyFont="1" applyBorder="1" applyAlignment="1">
      <alignment horizontal="left"/>
    </xf>
    <xf numFmtId="49" fontId="24" fillId="0" borderId="0" xfId="1" applyNumberFormat="1" applyFont="1" applyAlignment="1">
      <alignment horizontal="left"/>
    </xf>
    <xf numFmtId="0" fontId="11" fillId="0" borderId="0" xfId="0" applyFont="1"/>
    <xf numFmtId="0" fontId="40" fillId="0" borderId="0" xfId="4" applyFont="1" applyAlignment="1">
      <alignment horizontal="center"/>
    </xf>
    <xf numFmtId="0" fontId="3" fillId="0" borderId="0" xfId="4" applyAlignment="1">
      <alignment horizontal="center"/>
    </xf>
    <xf numFmtId="0" fontId="2" fillId="0" borderId="0" xfId="4" applyFont="1"/>
    <xf numFmtId="0" fontId="2" fillId="0" borderId="0" xfId="4" applyFont="1" applyAlignment="1">
      <alignment horizontal="left"/>
    </xf>
    <xf numFmtId="0" fontId="60" fillId="0" borderId="0" xfId="4" applyFont="1" applyAlignment="1">
      <alignment horizontal="left"/>
    </xf>
    <xf numFmtId="2" fontId="2" fillId="0" borderId="0" xfId="4" applyNumberFormat="1" applyFont="1"/>
    <xf numFmtId="0" fontId="61" fillId="0" borderId="0" xfId="4" applyFont="1"/>
    <xf numFmtId="2" fontId="3" fillId="0" borderId="0" xfId="4" applyNumberFormat="1"/>
    <xf numFmtId="49" fontId="10" fillId="3" borderId="12" xfId="1" applyNumberFormat="1" applyFont="1" applyFill="1" applyBorder="1" applyAlignment="1">
      <alignment horizontal="left"/>
    </xf>
    <xf numFmtId="49" fontId="10" fillId="3" borderId="4" xfId="1" applyNumberFormat="1" applyFont="1" applyFill="1" applyBorder="1" applyAlignment="1">
      <alignment horizontal="left"/>
    </xf>
    <xf numFmtId="49" fontId="10" fillId="3" borderId="0" xfId="1" applyNumberFormat="1" applyFont="1" applyFill="1" applyAlignment="1">
      <alignment horizontal="left"/>
    </xf>
    <xf numFmtId="49" fontId="10" fillId="3" borderId="5" xfId="1" applyNumberFormat="1" applyFont="1" applyFill="1" applyBorder="1" applyAlignment="1">
      <alignment horizontal="left"/>
    </xf>
    <xf numFmtId="49" fontId="10" fillId="3" borderId="0" xfId="1" applyNumberFormat="1" applyFont="1" applyFill="1" applyAlignment="1">
      <alignment horizontal="center"/>
    </xf>
    <xf numFmtId="169" fontId="10" fillId="3" borderId="0" xfId="1" applyNumberFormat="1" applyFont="1" applyFill="1" applyAlignment="1">
      <alignment horizontal="center"/>
    </xf>
    <xf numFmtId="0" fontId="12" fillId="2" borderId="9" xfId="1" applyFont="1" applyFill="1" applyBorder="1" applyAlignment="1">
      <alignment horizontal="left" vertical="center"/>
    </xf>
    <xf numFmtId="0" fontId="12" fillId="2" borderId="11" xfId="1" applyFont="1" applyFill="1" applyBorder="1" applyAlignment="1">
      <alignment horizontal="left" vertical="center"/>
    </xf>
    <xf numFmtId="0" fontId="12" fillId="2" borderId="10" xfId="1" applyFont="1" applyFill="1" applyBorder="1" applyAlignment="1">
      <alignment horizontal="left" vertical="center"/>
    </xf>
    <xf numFmtId="49" fontId="10" fillId="3" borderId="7" xfId="1" applyNumberFormat="1" applyFont="1" applyFill="1" applyBorder="1" applyAlignment="1">
      <alignment horizontal="left"/>
    </xf>
    <xf numFmtId="49" fontId="10" fillId="3" borderId="8" xfId="1" applyNumberFormat="1" applyFont="1" applyFill="1" applyBorder="1" applyAlignment="1">
      <alignment horizontal="left"/>
    </xf>
    <xf numFmtId="0" fontId="10" fillId="3" borderId="0" xfId="1" applyFont="1" applyFill="1" applyAlignment="1">
      <alignment horizontal="left"/>
    </xf>
    <xf numFmtId="0" fontId="10" fillId="3" borderId="5" xfId="1" applyFont="1" applyFill="1" applyBorder="1" applyAlignment="1">
      <alignment horizontal="left"/>
    </xf>
    <xf numFmtId="49" fontId="10" fillId="0" borderId="0" xfId="1" applyNumberFormat="1" applyFont="1" applyAlignment="1">
      <alignment horizontal="left"/>
    </xf>
    <xf numFmtId="49" fontId="10" fillId="0" borderId="5" xfId="1" applyNumberFormat="1" applyFont="1" applyBorder="1" applyAlignment="1">
      <alignment horizontal="left"/>
    </xf>
    <xf numFmtId="165" fontId="37" fillId="9" borderId="16" xfId="1" applyNumberFormat="1" applyFont="1" applyFill="1" applyBorder="1" applyAlignment="1" applyProtection="1">
      <alignment horizontal="center" vertical="center"/>
      <protection locked="0"/>
    </xf>
    <xf numFmtId="165" fontId="37" fillId="9" borderId="12" xfId="1" applyNumberFormat="1" applyFont="1" applyFill="1" applyBorder="1" applyAlignment="1" applyProtection="1">
      <alignment horizontal="center" vertical="center"/>
      <protection locked="0"/>
    </xf>
    <xf numFmtId="165" fontId="37" fillId="9" borderId="13" xfId="1" applyNumberFormat="1" applyFont="1" applyFill="1" applyBorder="1" applyAlignment="1" applyProtection="1">
      <alignment horizontal="center" vertical="center"/>
      <protection locked="0"/>
    </xf>
    <xf numFmtId="165" fontId="37" fillId="9" borderId="4" xfId="1" applyNumberFormat="1" applyFont="1" applyFill="1" applyBorder="1" applyAlignment="1" applyProtection="1">
      <alignment horizontal="center" vertical="center"/>
      <protection locked="0"/>
    </xf>
    <xf numFmtId="0" fontId="19" fillId="2" borderId="0" xfId="1" applyFont="1" applyFill="1" applyAlignment="1" applyProtection="1">
      <alignment horizontal="left"/>
      <protection locked="0"/>
    </xf>
    <xf numFmtId="0" fontId="5" fillId="2" borderId="43" xfId="1" applyFill="1" applyBorder="1" applyAlignment="1" applyProtection="1">
      <alignment horizontal="center" wrapText="1"/>
      <protection locked="0"/>
    </xf>
    <xf numFmtId="0" fontId="5" fillId="2" borderId="44" xfId="1" applyFill="1" applyBorder="1" applyAlignment="1" applyProtection="1">
      <alignment horizontal="center" wrapText="1"/>
      <protection locked="0"/>
    </xf>
    <xf numFmtId="0" fontId="5" fillId="2" borderId="45" xfId="1" applyFill="1" applyBorder="1" applyAlignment="1" applyProtection="1">
      <alignment horizontal="center"/>
      <protection locked="0"/>
    </xf>
    <xf numFmtId="0" fontId="5" fillId="2" borderId="46" xfId="1" applyFill="1" applyBorder="1" applyAlignment="1" applyProtection="1">
      <alignment horizontal="center" wrapText="1"/>
      <protection locked="0"/>
    </xf>
    <xf numFmtId="0" fontId="5" fillId="2" borderId="47" xfId="1" applyFill="1" applyBorder="1" applyAlignment="1" applyProtection="1">
      <alignment horizontal="center"/>
      <protection locked="0"/>
    </xf>
    <xf numFmtId="164" fontId="31" fillId="2" borderId="48" xfId="1" applyNumberFormat="1" applyFont="1" applyFill="1" applyBorder="1" applyAlignment="1" applyProtection="1">
      <alignment horizontal="center"/>
      <protection locked="0"/>
    </xf>
    <xf numFmtId="0" fontId="35" fillId="9" borderId="9" xfId="1" applyFont="1" applyFill="1" applyBorder="1" applyAlignment="1" applyProtection="1">
      <alignment horizontal="left" vertical="center" indent="1"/>
      <protection locked="0"/>
    </xf>
    <xf numFmtId="0" fontId="35" fillId="9" borderId="11" xfId="1" applyFont="1" applyFill="1" applyBorder="1" applyAlignment="1" applyProtection="1">
      <alignment horizontal="left" vertical="center" indent="1"/>
      <protection locked="0"/>
    </xf>
    <xf numFmtId="0" fontId="35" fillId="9" borderId="10" xfId="1" applyFont="1" applyFill="1" applyBorder="1" applyAlignment="1" applyProtection="1">
      <alignment horizontal="left" vertical="center" indent="1"/>
      <protection locked="0"/>
    </xf>
    <xf numFmtId="49" fontId="5" fillId="7" borderId="9" xfId="1" applyNumberFormat="1" applyFill="1" applyBorder="1" applyAlignment="1" applyProtection="1">
      <alignment horizontal="left" vertical="top" wrapText="1" indent="6"/>
      <protection locked="0"/>
    </xf>
    <xf numFmtId="49" fontId="5" fillId="7" borderId="11" xfId="1" applyNumberFormat="1" applyFill="1" applyBorder="1" applyAlignment="1" applyProtection="1">
      <alignment horizontal="left" vertical="top" wrapText="1" indent="6"/>
      <protection locked="0"/>
    </xf>
    <xf numFmtId="49" fontId="5" fillId="7" borderId="10" xfId="1" applyNumberFormat="1" applyFill="1" applyBorder="1" applyAlignment="1" applyProtection="1">
      <alignment horizontal="left" vertical="top" wrapText="1" indent="6"/>
      <protection locked="0"/>
    </xf>
    <xf numFmtId="0" fontId="15" fillId="0" borderId="36" xfId="1" applyFont="1" applyBorder="1" applyAlignment="1" applyProtection="1">
      <alignment horizontal="center" vertical="center"/>
      <protection locked="0"/>
    </xf>
    <xf numFmtId="0" fontId="15" fillId="0" borderId="41" xfId="1" applyFont="1" applyBorder="1" applyAlignment="1" applyProtection="1">
      <alignment horizontal="center" vertical="center"/>
      <protection locked="0"/>
    </xf>
    <xf numFmtId="0" fontId="15" fillId="0" borderId="33" xfId="1" applyFont="1" applyBorder="1" applyAlignment="1" applyProtection="1">
      <alignment horizontal="center" vertical="center"/>
      <protection locked="0"/>
    </xf>
    <xf numFmtId="0" fontId="15" fillId="0" borderId="34" xfId="1" applyFont="1" applyBorder="1" applyAlignment="1" applyProtection="1">
      <alignment horizontal="center" vertical="center"/>
      <protection locked="0"/>
    </xf>
    <xf numFmtId="0" fontId="15" fillId="0" borderId="35" xfId="1" applyFont="1" applyBorder="1" applyAlignment="1" applyProtection="1">
      <alignment horizontal="center" vertical="center"/>
      <protection locked="0"/>
    </xf>
    <xf numFmtId="1" fontId="18" fillId="0" borderId="57" xfId="2" applyNumberFormat="1" applyFont="1" applyBorder="1" applyAlignment="1" applyProtection="1">
      <alignment horizontal="center" vertical="center"/>
      <protection locked="0"/>
    </xf>
    <xf numFmtId="1" fontId="18" fillId="0" borderId="58" xfId="2" applyNumberFormat="1" applyFont="1" applyBorder="1" applyAlignment="1" applyProtection="1">
      <alignment horizontal="center" vertical="center"/>
      <protection locked="0"/>
    </xf>
    <xf numFmtId="1" fontId="18" fillId="0" borderId="59" xfId="2" applyNumberFormat="1" applyFont="1" applyBorder="1" applyAlignment="1" applyProtection="1">
      <alignment horizontal="center" vertical="center"/>
      <protection locked="0"/>
    </xf>
    <xf numFmtId="164" fontId="15" fillId="0" borderId="53" xfId="2" applyNumberFormat="1" applyFont="1" applyBorder="1" applyAlignment="1" applyProtection="1">
      <alignment horizontal="center" vertical="center"/>
      <protection locked="0"/>
    </xf>
    <xf numFmtId="164" fontId="15" fillId="0" borderId="54" xfId="2" applyNumberFormat="1" applyFont="1" applyBorder="1" applyAlignment="1" applyProtection="1">
      <alignment horizontal="center" vertical="center"/>
      <protection locked="0"/>
    </xf>
    <xf numFmtId="164" fontId="15" fillId="0" borderId="55" xfId="2" applyNumberFormat="1" applyFont="1" applyBorder="1" applyAlignment="1" applyProtection="1">
      <alignment horizontal="center" vertical="center"/>
      <protection locked="0"/>
    </xf>
    <xf numFmtId="164" fontId="15" fillId="0" borderId="56" xfId="2" applyNumberFormat="1" applyFont="1" applyBorder="1" applyAlignment="1" applyProtection="1">
      <alignment horizontal="center" vertical="center"/>
      <protection locked="0"/>
    </xf>
    <xf numFmtId="2" fontId="12" fillId="0" borderId="6" xfId="0" applyNumberFormat="1" applyFont="1" applyBorder="1" applyAlignment="1">
      <alignment horizontal="center"/>
    </xf>
    <xf numFmtId="2" fontId="12" fillId="0" borderId="7" xfId="0" applyNumberFormat="1" applyFont="1" applyBorder="1" applyAlignment="1">
      <alignment horizontal="center"/>
    </xf>
    <xf numFmtId="2" fontId="12" fillId="0" borderId="8" xfId="0" applyNumberFormat="1" applyFont="1" applyBorder="1" applyAlignment="1">
      <alignment horizontal="center"/>
    </xf>
    <xf numFmtId="2" fontId="12" fillId="0" borderId="2" xfId="0" applyNumberFormat="1" applyFont="1" applyBorder="1" applyAlignment="1">
      <alignment horizontal="center"/>
    </xf>
    <xf numFmtId="2" fontId="12" fillId="0" borderId="0" xfId="0" applyNumberFormat="1" applyFont="1" applyAlignment="1">
      <alignment horizontal="center"/>
    </xf>
    <xf numFmtId="2" fontId="12" fillId="0" borderId="5" xfId="0" applyNumberFormat="1" applyFont="1" applyBorder="1" applyAlignment="1">
      <alignment horizontal="center"/>
    </xf>
    <xf numFmtId="2" fontId="12" fillId="0" borderId="3" xfId="0" applyNumberFormat="1" applyFont="1" applyBorder="1" applyAlignment="1">
      <alignment horizontal="center"/>
    </xf>
    <xf numFmtId="2" fontId="12" fillId="0" borderId="12" xfId="0" applyNumberFormat="1" applyFont="1" applyBorder="1" applyAlignment="1">
      <alignment horizontal="center"/>
    </xf>
    <xf numFmtId="2" fontId="12" fillId="0" borderId="4" xfId="0" applyNumberFormat="1" applyFont="1" applyBorder="1" applyAlignment="1">
      <alignment horizontal="center"/>
    </xf>
    <xf numFmtId="0" fontId="19" fillId="0" borderId="6" xfId="0" applyFont="1" applyBorder="1" applyAlignment="1">
      <alignment horizontal="center" vertical="center"/>
    </xf>
    <xf numFmtId="0" fontId="19" fillId="0" borderId="8" xfId="0" applyFont="1" applyBorder="1" applyAlignment="1">
      <alignment horizontal="center" vertical="center"/>
    </xf>
    <xf numFmtId="0" fontId="19" fillId="0" borderId="2" xfId="0" applyFont="1" applyBorder="1" applyAlignment="1">
      <alignment horizontal="center" vertical="center"/>
    </xf>
    <xf numFmtId="0" fontId="19" fillId="0" borderId="5" xfId="0" applyFont="1" applyBorder="1" applyAlignment="1">
      <alignment horizontal="center" vertical="center"/>
    </xf>
    <xf numFmtId="0" fontId="19" fillId="0" borderId="3" xfId="0" applyFont="1" applyBorder="1" applyAlignment="1">
      <alignment horizontal="center" vertical="center"/>
    </xf>
    <xf numFmtId="0" fontId="19" fillId="0" borderId="4" xfId="0" applyFont="1" applyBorder="1" applyAlignment="1">
      <alignment horizontal="center" vertical="center"/>
    </xf>
    <xf numFmtId="0" fontId="17" fillId="4" borderId="9" xfId="0" applyFont="1" applyFill="1" applyBorder="1" applyAlignment="1">
      <alignment horizontal="left"/>
    </xf>
    <xf numFmtId="0" fontId="17" fillId="4" borderId="10" xfId="0" applyFont="1" applyFill="1" applyBorder="1" applyAlignment="1">
      <alignment horizontal="left"/>
    </xf>
    <xf numFmtId="0" fontId="44" fillId="0" borderId="9" xfId="5" applyFont="1" applyBorder="1" applyAlignment="1">
      <alignment horizontal="center"/>
    </xf>
    <xf numFmtId="0" fontId="44" fillId="0" borderId="11" xfId="5" applyFont="1" applyBorder="1" applyAlignment="1">
      <alignment horizontal="center"/>
    </xf>
    <xf numFmtId="0" fontId="44" fillId="0" borderId="10" xfId="5" applyFont="1" applyBorder="1" applyAlignment="1">
      <alignment horizontal="center"/>
    </xf>
    <xf numFmtId="0" fontId="45" fillId="0" borderId="11" xfId="5" applyFont="1" applyBorder="1" applyAlignment="1">
      <alignment horizontal="center" vertical="center"/>
    </xf>
    <xf numFmtId="0" fontId="44" fillId="0" borderId="6" xfId="5" applyFont="1" applyBorder="1" applyAlignment="1">
      <alignment horizontal="left"/>
    </xf>
    <xf numFmtId="0" fontId="44" fillId="0" borderId="2" xfId="5" applyFont="1" applyBorder="1" applyAlignment="1">
      <alignment horizontal="left"/>
    </xf>
    <xf numFmtId="0" fontId="44" fillId="0" borderId="3" xfId="5" applyFont="1" applyBorder="1" applyAlignment="1">
      <alignment horizontal="left"/>
    </xf>
    <xf numFmtId="0" fontId="45" fillId="0" borderId="9" xfId="5" applyFont="1" applyBorder="1" applyAlignment="1">
      <alignment horizontal="center"/>
    </xf>
    <xf numFmtId="0" fontId="45" fillId="0" borderId="11" xfId="5" applyFont="1" applyBorder="1" applyAlignment="1">
      <alignment horizontal="center"/>
    </xf>
    <xf numFmtId="0" fontId="29" fillId="0" borderId="6" xfId="1" applyFont="1" applyBorder="1" applyAlignment="1">
      <alignment horizontal="center" vertical="center"/>
    </xf>
    <xf numFmtId="0" fontId="29" fillId="0" borderId="8" xfId="1" applyFont="1" applyBorder="1" applyAlignment="1">
      <alignment horizontal="center" vertical="center"/>
    </xf>
    <xf numFmtId="0" fontId="29" fillId="0" borderId="2" xfId="1" applyFont="1" applyBorder="1" applyAlignment="1">
      <alignment horizontal="center" vertical="center"/>
    </xf>
    <xf numFmtId="0" fontId="29" fillId="0" borderId="5" xfId="1" applyFont="1" applyBorder="1" applyAlignment="1">
      <alignment horizontal="center" vertical="center"/>
    </xf>
    <xf numFmtId="0" fontId="30" fillId="0" borderId="6" xfId="1" applyFont="1" applyBorder="1" applyAlignment="1">
      <alignment horizontal="center" wrapText="1"/>
    </xf>
    <xf numFmtId="0" fontId="30" fillId="0" borderId="17" xfId="1" applyFont="1" applyBorder="1" applyAlignment="1">
      <alignment horizontal="center" wrapText="1"/>
    </xf>
    <xf numFmtId="0" fontId="30" fillId="0" borderId="2" xfId="1" applyFont="1" applyBorder="1" applyAlignment="1">
      <alignment horizontal="center" wrapText="1"/>
    </xf>
    <xf numFmtId="0" fontId="30" fillId="0" borderId="1" xfId="1" applyFont="1" applyBorder="1" applyAlignment="1">
      <alignment horizontal="center" wrapText="1"/>
    </xf>
    <xf numFmtId="0" fontId="30" fillId="0" borderId="7" xfId="1" applyFont="1" applyBorder="1" applyAlignment="1">
      <alignment horizontal="center" wrapText="1"/>
    </xf>
    <xf numFmtId="0" fontId="30" fillId="0" borderId="8" xfId="1" applyFont="1" applyBorder="1" applyAlignment="1">
      <alignment horizontal="center" wrapText="1"/>
    </xf>
    <xf numFmtId="0" fontId="30" fillId="0" borderId="0" xfId="1" applyFont="1" applyAlignment="1">
      <alignment horizontal="center" wrapText="1"/>
    </xf>
    <xf numFmtId="0" fontId="30" fillId="0" borderId="5" xfId="1" applyFont="1" applyBorder="1" applyAlignment="1">
      <alignment horizontal="center" wrapText="1"/>
    </xf>
    <xf numFmtId="0" fontId="27" fillId="7" borderId="2" xfId="1" applyFont="1" applyFill="1" applyBorder="1" applyAlignment="1">
      <alignment horizontal="center" vertical="center"/>
    </xf>
    <xf numFmtId="0" fontId="27" fillId="7" borderId="0" xfId="1" applyFont="1" applyFill="1" applyAlignment="1">
      <alignment horizontal="center" vertical="center"/>
    </xf>
    <xf numFmtId="0" fontId="24" fillId="0" borderId="6" xfId="1" applyFont="1" applyBorder="1" applyAlignment="1">
      <alignment horizontal="center"/>
    </xf>
    <xf numFmtId="0" fontId="24" fillId="0" borderId="7" xfId="1" applyFont="1" applyBorder="1" applyAlignment="1">
      <alignment horizontal="center"/>
    </xf>
    <xf numFmtId="0" fontId="24" fillId="0" borderId="8" xfId="1" applyFont="1" applyBorder="1" applyAlignment="1">
      <alignment horizontal="center"/>
    </xf>
    <xf numFmtId="0" fontId="26" fillId="4" borderId="9" xfId="1" applyFont="1" applyFill="1" applyBorder="1" applyAlignment="1">
      <alignment horizontal="left"/>
    </xf>
    <xf numFmtId="0" fontId="26" fillId="4" borderId="11" xfId="1" applyFont="1" applyFill="1" applyBorder="1" applyAlignment="1">
      <alignment horizontal="left"/>
    </xf>
    <xf numFmtId="0" fontId="26" fillId="0" borderId="9" xfId="1" applyFont="1" applyBorder="1" applyAlignment="1">
      <alignment horizontal="center"/>
    </xf>
    <xf numFmtId="0" fontId="26" fillId="0" borderId="24" xfId="1" applyFont="1" applyBorder="1" applyAlignment="1">
      <alignment horizontal="center"/>
    </xf>
    <xf numFmtId="0" fontId="26" fillId="0" borderId="11" xfId="1" applyFont="1" applyBorder="1" applyAlignment="1">
      <alignment horizontal="center"/>
    </xf>
    <xf numFmtId="0" fontId="26" fillId="0" borderId="10" xfId="1" applyFont="1" applyBorder="1" applyAlignment="1">
      <alignment horizontal="center"/>
    </xf>
    <xf numFmtId="0" fontId="24" fillId="0" borderId="2" xfId="1" applyFont="1" applyBorder="1" applyAlignment="1">
      <alignment horizontal="center"/>
    </xf>
    <xf numFmtId="0" fontId="24" fillId="0" borderId="0" xfId="1" applyFont="1" applyAlignment="1">
      <alignment horizontal="center"/>
    </xf>
    <xf numFmtId="0" fontId="24" fillId="0" borderId="5" xfId="1" applyFont="1" applyBorder="1" applyAlignment="1">
      <alignment horizontal="center"/>
    </xf>
    <xf numFmtId="49" fontId="24" fillId="8" borderId="2" xfId="1" applyNumberFormat="1" applyFont="1" applyFill="1" applyBorder="1" applyAlignment="1">
      <alignment horizontal="center"/>
    </xf>
    <xf numFmtId="49" fontId="24" fillId="8" borderId="0" xfId="1" applyNumberFormat="1" applyFont="1" applyFill="1" applyAlignment="1">
      <alignment horizontal="center"/>
    </xf>
    <xf numFmtId="49" fontId="24" fillId="8" borderId="5" xfId="1" applyNumberFormat="1" applyFont="1" applyFill="1" applyBorder="1" applyAlignment="1">
      <alignment horizontal="center"/>
    </xf>
    <xf numFmtId="49" fontId="24" fillId="8" borderId="2" xfId="1" applyNumberFormat="1" applyFont="1" applyFill="1" applyBorder="1" applyAlignment="1">
      <alignment horizontal="left"/>
    </xf>
    <xf numFmtId="49" fontId="24" fillId="8" borderId="5" xfId="1" applyNumberFormat="1" applyFont="1" applyFill="1" applyBorder="1" applyAlignment="1">
      <alignment horizontal="left"/>
    </xf>
    <xf numFmtId="0" fontId="24" fillId="8" borderId="2" xfId="1" applyFont="1" applyFill="1" applyBorder="1" applyAlignment="1">
      <alignment horizontal="left"/>
    </xf>
    <xf numFmtId="0" fontId="24" fillId="8" borderId="5" xfId="1" applyFont="1" applyFill="1" applyBorder="1" applyAlignment="1">
      <alignment horizontal="left"/>
    </xf>
    <xf numFmtId="0" fontId="24" fillId="8" borderId="3" xfId="1" applyFont="1" applyFill="1" applyBorder="1" applyAlignment="1">
      <alignment horizontal="left"/>
    </xf>
    <xf numFmtId="0" fontId="24" fillId="8" borderId="4" xfId="1" applyFont="1" applyFill="1" applyBorder="1" applyAlignment="1">
      <alignment horizontal="left"/>
    </xf>
    <xf numFmtId="0" fontId="25" fillId="0" borderId="6" xfId="1" applyFont="1" applyBorder="1" applyAlignment="1">
      <alignment horizontal="center" vertical="center"/>
    </xf>
    <xf numFmtId="0" fontId="25" fillId="0" borderId="17" xfId="1" applyFont="1" applyBorder="1" applyAlignment="1">
      <alignment horizontal="center" vertical="center"/>
    </xf>
    <xf numFmtId="0" fontId="25" fillId="0" borderId="7" xfId="1" applyFont="1" applyBorder="1" applyAlignment="1">
      <alignment horizontal="center" vertical="center"/>
    </xf>
    <xf numFmtId="0" fontId="25" fillId="0" borderId="8" xfId="1" applyFont="1" applyBorder="1" applyAlignment="1">
      <alignment horizontal="center" vertical="center"/>
    </xf>
    <xf numFmtId="0" fontId="24" fillId="0" borderId="14" xfId="1" applyFont="1" applyBorder="1" applyAlignment="1">
      <alignment horizontal="center"/>
    </xf>
    <xf numFmtId="49" fontId="24" fillId="8" borderId="1" xfId="1" applyNumberFormat="1" applyFont="1" applyFill="1" applyBorder="1" applyAlignment="1">
      <alignment horizontal="center"/>
    </xf>
    <xf numFmtId="49" fontId="24" fillId="8" borderId="3" xfId="1" applyNumberFormat="1" applyFont="1" applyFill="1" applyBorder="1" applyAlignment="1">
      <alignment horizontal="center"/>
    </xf>
    <xf numFmtId="49" fontId="24" fillId="8" borderId="13" xfId="1" applyNumberFormat="1" applyFont="1" applyFill="1" applyBorder="1" applyAlignment="1">
      <alignment horizontal="center"/>
    </xf>
    <xf numFmtId="49" fontId="24" fillId="8" borderId="12" xfId="1" applyNumberFormat="1" applyFont="1" applyFill="1" applyBorder="1" applyAlignment="1">
      <alignment horizontal="center"/>
    </xf>
    <xf numFmtId="49" fontId="24" fillId="8" borderId="4" xfId="1" applyNumberFormat="1" applyFont="1" applyFill="1" applyBorder="1" applyAlignment="1">
      <alignment horizontal="center"/>
    </xf>
    <xf numFmtId="0" fontId="24" fillId="0" borderId="16" xfId="1" applyFont="1" applyBorder="1" applyAlignment="1">
      <alignment horizontal="center"/>
    </xf>
    <xf numFmtId="0" fontId="24" fillId="0" borderId="4" xfId="1" applyFont="1" applyBorder="1" applyAlignment="1">
      <alignment horizontal="center"/>
    </xf>
    <xf numFmtId="0" fontId="26" fillId="4" borderId="9" xfId="1" applyFont="1" applyFill="1" applyBorder="1" applyAlignment="1">
      <alignment horizontal="left" vertical="center"/>
    </xf>
    <xf numFmtId="0" fontId="26" fillId="4" borderId="11" xfId="1" applyFont="1" applyFill="1" applyBorder="1" applyAlignment="1">
      <alignment horizontal="left" vertical="center"/>
    </xf>
    <xf numFmtId="165" fontId="26" fillId="0" borderId="9" xfId="1" applyNumberFormat="1" applyFont="1" applyBorder="1" applyAlignment="1">
      <alignment horizontal="center"/>
    </xf>
    <xf numFmtId="165" fontId="26" fillId="0" borderId="24" xfId="1" applyNumberFormat="1" applyFont="1" applyBorder="1" applyAlignment="1">
      <alignment horizontal="center"/>
    </xf>
    <xf numFmtId="165" fontId="26" fillId="0" borderId="11" xfId="1" applyNumberFormat="1" applyFont="1" applyBorder="1" applyAlignment="1">
      <alignment horizontal="center"/>
    </xf>
    <xf numFmtId="165" fontId="26" fillId="0" borderId="10" xfId="1" applyNumberFormat="1" applyFont="1" applyBorder="1" applyAlignment="1">
      <alignment horizontal="center"/>
    </xf>
    <xf numFmtId="0" fontId="26" fillId="4" borderId="10" xfId="1" applyFont="1" applyFill="1" applyBorder="1" applyAlignment="1">
      <alignment horizontal="left" vertical="center"/>
    </xf>
    <xf numFmtId="166" fontId="25" fillId="0" borderId="2" xfId="2" applyNumberFormat="1" applyFont="1" applyBorder="1" applyAlignment="1">
      <alignment horizontal="center"/>
    </xf>
    <xf numFmtId="166" fontId="25" fillId="0" borderId="1" xfId="2" applyNumberFormat="1" applyFont="1" applyBorder="1" applyAlignment="1">
      <alignment horizontal="center"/>
    </xf>
    <xf numFmtId="166" fontId="25" fillId="0" borderId="0" xfId="2" applyNumberFormat="1" applyFont="1" applyAlignment="1">
      <alignment horizontal="center"/>
    </xf>
    <xf numFmtId="166" fontId="25" fillId="0" borderId="5" xfId="2" applyNumberFormat="1" applyFont="1" applyBorder="1" applyAlignment="1">
      <alignment horizontal="center"/>
    </xf>
    <xf numFmtId="166" fontId="25" fillId="0" borderId="0" xfId="2" applyNumberFormat="1" applyFont="1" applyBorder="1" applyAlignment="1">
      <alignment horizontal="center"/>
    </xf>
    <xf numFmtId="0" fontId="26" fillId="4" borderId="10" xfId="1" applyFont="1" applyFill="1" applyBorder="1" applyAlignment="1">
      <alignment horizontal="left"/>
    </xf>
    <xf numFmtId="0" fontId="25" fillId="0" borderId="9" xfId="1" applyFont="1" applyBorder="1" applyAlignment="1">
      <alignment horizontal="center" wrapText="1"/>
    </xf>
    <xf numFmtId="0" fontId="25" fillId="0" borderId="24" xfId="1" applyFont="1" applyBorder="1" applyAlignment="1">
      <alignment horizontal="center" wrapText="1"/>
    </xf>
    <xf numFmtId="0" fontId="25" fillId="0" borderId="11" xfId="1" applyFont="1" applyBorder="1" applyAlignment="1">
      <alignment horizontal="center"/>
    </xf>
    <xf numFmtId="0" fontId="25" fillId="0" borderId="10" xfId="1" applyFont="1" applyBorder="1" applyAlignment="1">
      <alignment horizontal="center"/>
    </xf>
    <xf numFmtId="165" fontId="25" fillId="0" borderId="6" xfId="1" applyNumberFormat="1" applyFont="1" applyBorder="1" applyAlignment="1">
      <alignment horizontal="center"/>
    </xf>
    <xf numFmtId="165" fontId="25" fillId="0" borderId="7" xfId="1" applyNumberFormat="1" applyFont="1" applyBorder="1" applyAlignment="1">
      <alignment horizontal="center"/>
    </xf>
    <xf numFmtId="165" fontId="25" fillId="0" borderId="8" xfId="1" applyNumberFormat="1" applyFont="1" applyBorder="1" applyAlignment="1">
      <alignment horizontal="center"/>
    </xf>
    <xf numFmtId="165" fontId="25" fillId="0" borderId="3" xfId="1" applyNumberFormat="1" applyFont="1" applyBorder="1" applyAlignment="1">
      <alignment horizontal="center"/>
    </xf>
    <xf numFmtId="165" fontId="25" fillId="0" borderId="12" xfId="1" applyNumberFormat="1" applyFont="1" applyBorder="1" applyAlignment="1">
      <alignment horizontal="center"/>
    </xf>
    <xf numFmtId="165" fontId="25" fillId="0" borderId="4" xfId="1" applyNumberFormat="1" applyFont="1" applyBorder="1" applyAlignment="1">
      <alignment horizontal="center"/>
    </xf>
    <xf numFmtId="0" fontId="28" fillId="0" borderId="9" xfId="1" applyFont="1" applyBorder="1" applyAlignment="1">
      <alignment horizontal="left" vertical="center"/>
    </xf>
    <xf numFmtId="0" fontId="28" fillId="0" borderId="11" xfId="1" applyFont="1" applyBorder="1" applyAlignment="1">
      <alignment horizontal="left" vertical="center"/>
    </xf>
    <xf numFmtId="165" fontId="28" fillId="0" borderId="9" xfId="1" applyNumberFormat="1" applyFont="1" applyBorder="1" applyAlignment="1">
      <alignment horizontal="center"/>
    </xf>
    <xf numFmtId="165" fontId="28" fillId="0" borderId="11" xfId="1" applyNumberFormat="1" applyFont="1" applyBorder="1" applyAlignment="1">
      <alignment horizontal="center"/>
    </xf>
    <xf numFmtId="165" fontId="28" fillId="0" borderId="10" xfId="1" applyNumberFormat="1" applyFont="1" applyBorder="1" applyAlignment="1">
      <alignment horizontal="center"/>
    </xf>
    <xf numFmtId="166" fontId="25" fillId="0" borderId="3" xfId="2" applyNumberFormat="1" applyFont="1" applyBorder="1" applyAlignment="1">
      <alignment horizontal="center"/>
    </xf>
    <xf numFmtId="166" fontId="25" fillId="0" borderId="13" xfId="2" applyNumberFormat="1" applyFont="1" applyBorder="1" applyAlignment="1">
      <alignment horizontal="center"/>
    </xf>
    <xf numFmtId="166" fontId="25" fillId="0" borderId="12" xfId="2" applyNumberFormat="1" applyFont="1" applyBorder="1" applyAlignment="1">
      <alignment horizontal="center"/>
    </xf>
    <xf numFmtId="166" fontId="25" fillId="0" borderId="4" xfId="2" applyNumberFormat="1" applyFont="1" applyBorder="1" applyAlignment="1">
      <alignment horizontal="center"/>
    </xf>
    <xf numFmtId="0" fontId="29" fillId="0" borderId="3" xfId="1" applyFont="1" applyBorder="1" applyAlignment="1">
      <alignment horizontal="center" vertical="center"/>
    </xf>
    <xf numFmtId="0" fontId="29" fillId="0" borderId="4" xfId="1" applyFont="1" applyBorder="1" applyAlignment="1">
      <alignment horizontal="center" vertical="center"/>
    </xf>
    <xf numFmtId="0" fontId="26" fillId="0" borderId="3" xfId="1" applyFont="1" applyBorder="1" applyAlignment="1">
      <alignment horizontal="center"/>
    </xf>
    <xf numFmtId="0" fontId="26" fillId="0" borderId="4" xfId="1" applyFont="1" applyBorder="1" applyAlignment="1">
      <alignment horizontal="center"/>
    </xf>
    <xf numFmtId="0" fontId="24" fillId="6" borderId="11" xfId="1" applyFont="1" applyFill="1" applyBorder="1" applyAlignment="1">
      <alignment horizontal="center"/>
    </xf>
    <xf numFmtId="0" fontId="25" fillId="0" borderId="10" xfId="1" applyFont="1" applyBorder="1" applyAlignment="1">
      <alignment horizontal="center" wrapText="1"/>
    </xf>
    <xf numFmtId="166" fontId="25" fillId="0" borderId="6" xfId="2" applyNumberFormat="1" applyFont="1" applyBorder="1" applyAlignment="1">
      <alignment horizontal="center"/>
    </xf>
    <xf numFmtId="166" fontId="25" fillId="0" borderId="8" xfId="2" applyNumberFormat="1" applyFont="1" applyBorder="1" applyAlignment="1">
      <alignment horizontal="center"/>
    </xf>
    <xf numFmtId="49" fontId="10" fillId="0" borderId="2" xfId="0" applyNumberFormat="1" applyFont="1" applyBorder="1" applyAlignment="1" applyProtection="1">
      <alignment horizontal="center"/>
      <protection locked="0"/>
    </xf>
    <xf numFmtId="49" fontId="10" fillId="0" borderId="1" xfId="0" applyNumberFormat="1" applyFont="1" applyBorder="1" applyAlignment="1" applyProtection="1">
      <alignment horizontal="center"/>
      <protection locked="0"/>
    </xf>
    <xf numFmtId="0" fontId="20" fillId="0" borderId="9" xfId="1" applyFont="1" applyBorder="1" applyAlignment="1">
      <alignment horizontal="left"/>
    </xf>
    <xf numFmtId="0" fontId="20" fillId="0" borderId="10" xfId="1" applyFont="1" applyBorder="1" applyAlignment="1">
      <alignment horizontal="left"/>
    </xf>
    <xf numFmtId="165" fontId="20" fillId="0" borderId="9" xfId="1" applyNumberFormat="1" applyFont="1" applyBorder="1" applyAlignment="1">
      <alignment horizontal="center"/>
    </xf>
    <xf numFmtId="165" fontId="20" fillId="0" borderId="11" xfId="1" applyNumberFormat="1" applyFont="1" applyBorder="1" applyAlignment="1">
      <alignment horizontal="center"/>
    </xf>
    <xf numFmtId="165" fontId="20" fillId="0" borderId="10" xfId="1" applyNumberFormat="1" applyFont="1" applyBorder="1" applyAlignment="1">
      <alignment horizontal="center"/>
    </xf>
    <xf numFmtId="166" fontId="11" fillId="0" borderId="12" xfId="2" applyNumberFormat="1" applyFont="1" applyBorder="1" applyAlignment="1" applyProtection="1">
      <alignment horizontal="center"/>
    </xf>
    <xf numFmtId="166" fontId="11" fillId="0" borderId="4" xfId="2" applyNumberFormat="1" applyFont="1" applyBorder="1" applyAlignment="1" applyProtection="1">
      <alignment horizontal="center"/>
    </xf>
    <xf numFmtId="165" fontId="25" fillId="0" borderId="2" xfId="1" applyNumberFormat="1" applyFont="1" applyBorder="1" applyAlignment="1">
      <alignment horizontal="center"/>
    </xf>
    <xf numFmtId="165" fontId="25" fillId="0" borderId="0" xfId="1" applyNumberFormat="1" applyFont="1" applyAlignment="1">
      <alignment horizontal="center"/>
    </xf>
    <xf numFmtId="165" fontId="25" fillId="0" borderId="5" xfId="1" applyNumberFormat="1" applyFont="1" applyBorder="1" applyAlignment="1">
      <alignment horizontal="center"/>
    </xf>
    <xf numFmtId="166" fontId="11" fillId="0" borderId="2" xfId="2" applyNumberFormat="1" applyFont="1" applyBorder="1" applyAlignment="1" applyProtection="1">
      <alignment horizontal="center"/>
    </xf>
    <xf numFmtId="166" fontId="11" fillId="0" borderId="0" xfId="2" applyNumberFormat="1" applyFont="1" applyAlignment="1" applyProtection="1">
      <alignment horizontal="center"/>
    </xf>
    <xf numFmtId="166" fontId="11" fillId="0" borderId="1" xfId="2" applyNumberFormat="1" applyFont="1" applyBorder="1" applyAlignment="1" applyProtection="1">
      <alignment horizontal="center"/>
    </xf>
    <xf numFmtId="166" fontId="11" fillId="0" borderId="5" xfId="2" applyNumberFormat="1" applyFont="1" applyBorder="1" applyAlignment="1" applyProtection="1">
      <alignment horizontal="center"/>
    </xf>
    <xf numFmtId="49" fontId="10" fillId="0" borderId="3" xfId="0" applyNumberFormat="1" applyFont="1" applyBorder="1" applyAlignment="1" applyProtection="1">
      <alignment horizontal="center"/>
      <protection locked="0"/>
    </xf>
    <xf numFmtId="49" fontId="10" fillId="0" borderId="13" xfId="0" applyNumberFormat="1" applyFont="1" applyBorder="1" applyAlignment="1" applyProtection="1">
      <alignment horizontal="center"/>
      <protection locked="0"/>
    </xf>
    <xf numFmtId="0" fontId="17" fillId="0" borderId="9" xfId="1" applyFont="1" applyBorder="1" applyAlignment="1">
      <alignment horizontal="left"/>
    </xf>
    <xf numFmtId="0" fontId="17" fillId="0" borderId="10" xfId="1" applyFont="1" applyBorder="1" applyAlignment="1">
      <alignment horizontal="left"/>
    </xf>
    <xf numFmtId="0" fontId="10" fillId="0" borderId="9" xfId="0" applyFont="1" applyBorder="1" applyAlignment="1">
      <alignment horizontal="center"/>
    </xf>
    <xf numFmtId="0" fontId="10" fillId="0" borderId="24" xfId="0" applyFont="1" applyBorder="1" applyAlignment="1">
      <alignment horizontal="center"/>
    </xf>
    <xf numFmtId="0" fontId="17" fillId="4" borderId="9" xfId="1" applyFont="1" applyFill="1" applyBorder="1" applyAlignment="1">
      <alignment horizontal="left"/>
    </xf>
    <xf numFmtId="0" fontId="17" fillId="4" borderId="10" xfId="1" applyFont="1" applyFill="1" applyBorder="1" applyAlignment="1">
      <alignment horizontal="left"/>
    </xf>
    <xf numFmtId="0" fontId="10" fillId="0" borderId="2" xfId="0" applyFont="1" applyBorder="1" applyAlignment="1">
      <alignment horizontal="center"/>
    </xf>
    <xf numFmtId="0" fontId="10" fillId="0" borderId="0" xfId="0" applyFont="1" applyAlignment="1">
      <alignment horizontal="center"/>
    </xf>
    <xf numFmtId="165" fontId="10" fillId="0" borderId="0" xfId="0" applyNumberFormat="1" applyFont="1" applyAlignment="1">
      <alignment horizontal="center"/>
    </xf>
    <xf numFmtId="165" fontId="10" fillId="0" borderId="5" xfId="0" applyNumberFormat="1" applyFont="1" applyBorder="1" applyAlignment="1">
      <alignment horizontal="center"/>
    </xf>
    <xf numFmtId="0" fontId="10" fillId="0" borderId="5" xfId="0" applyFont="1" applyBorder="1" applyAlignment="1">
      <alignment horizontal="center"/>
    </xf>
    <xf numFmtId="0" fontId="32" fillId="8" borderId="2" xfId="1" applyFont="1" applyFill="1" applyBorder="1" applyAlignment="1" applyProtection="1">
      <alignment horizontal="center" vertical="center"/>
      <protection locked="0"/>
    </xf>
    <xf numFmtId="0" fontId="32" fillId="8" borderId="0" xfId="1" applyFont="1" applyFill="1" applyAlignment="1" applyProtection="1">
      <alignment horizontal="center" vertical="center"/>
      <protection locked="0"/>
    </xf>
    <xf numFmtId="165" fontId="10" fillId="0" borderId="12" xfId="0" applyNumberFormat="1" applyFont="1" applyBorder="1" applyAlignment="1">
      <alignment horizontal="center"/>
    </xf>
    <xf numFmtId="165" fontId="10" fillId="0" borderId="4" xfId="0" applyNumberFormat="1" applyFont="1" applyBorder="1" applyAlignment="1">
      <alignment horizontal="center"/>
    </xf>
    <xf numFmtId="0" fontId="11" fillId="0" borderId="6" xfId="1" applyFont="1" applyBorder="1" applyAlignment="1">
      <alignment horizontal="left"/>
    </xf>
    <xf numFmtId="0" fontId="11" fillId="0" borderId="7" xfId="1" applyFont="1" applyBorder="1" applyAlignment="1">
      <alignment horizontal="left"/>
    </xf>
    <xf numFmtId="0" fontId="11" fillId="0" borderId="6" xfId="1" applyFont="1" applyBorder="1" applyAlignment="1">
      <alignment horizontal="center"/>
    </xf>
    <xf numFmtId="0" fontId="11" fillId="0" borderId="7" xfId="1" applyFont="1" applyBorder="1" applyAlignment="1">
      <alignment horizontal="center"/>
    </xf>
    <xf numFmtId="0" fontId="11" fillId="0" borderId="8" xfId="1" applyFont="1" applyBorder="1" applyAlignment="1">
      <alignment horizontal="center"/>
    </xf>
    <xf numFmtId="0" fontId="10" fillId="0" borderId="6" xfId="1" applyFont="1" applyBorder="1" applyAlignment="1">
      <alignment horizontal="center"/>
    </xf>
    <xf numFmtId="0" fontId="10" fillId="0" borderId="7" xfId="1" applyFont="1" applyBorder="1" applyAlignment="1">
      <alignment horizontal="center"/>
    </xf>
    <xf numFmtId="0" fontId="10" fillId="0" borderId="8" xfId="1" applyFont="1" applyBorder="1" applyAlignment="1">
      <alignment horizontal="center"/>
    </xf>
    <xf numFmtId="0" fontId="10" fillId="8" borderId="2" xfId="1" applyFont="1" applyFill="1" applyBorder="1" applyAlignment="1" applyProtection="1">
      <alignment horizontal="center"/>
      <protection locked="0"/>
    </xf>
    <xf numFmtId="0" fontId="10" fillId="8" borderId="0" xfId="1" applyFont="1" applyFill="1" applyAlignment="1" applyProtection="1">
      <alignment horizontal="center"/>
      <protection locked="0"/>
    </xf>
    <xf numFmtId="0" fontId="10" fillId="8" borderId="5" xfId="1" applyFont="1" applyFill="1" applyBorder="1" applyAlignment="1" applyProtection="1">
      <alignment horizontal="center"/>
      <protection locked="0"/>
    </xf>
    <xf numFmtId="0" fontId="10" fillId="0" borderId="2" xfId="1" applyFont="1" applyBorder="1" applyAlignment="1">
      <alignment horizontal="center"/>
    </xf>
    <xf numFmtId="0" fontId="10" fillId="0" borderId="0" xfId="1" applyFont="1" applyAlignment="1">
      <alignment horizontal="center"/>
    </xf>
    <xf numFmtId="0" fontId="10" fillId="0" borderId="5" xfId="1" applyFont="1" applyBorder="1" applyAlignment="1">
      <alignment horizontal="center"/>
    </xf>
    <xf numFmtId="0" fontId="11" fillId="0" borderId="2" xfId="1" applyFont="1" applyBorder="1" applyAlignment="1">
      <alignment horizontal="center"/>
    </xf>
    <xf numFmtId="0" fontId="11" fillId="0" borderId="0" xfId="1" applyFont="1" applyAlignment="1">
      <alignment horizontal="center"/>
    </xf>
    <xf numFmtId="0" fontId="11" fillId="0" borderId="5" xfId="1" applyFont="1" applyBorder="1" applyAlignment="1">
      <alignment horizontal="center"/>
    </xf>
    <xf numFmtId="0" fontId="19" fillId="0" borderId="6" xfId="1" applyFont="1" applyBorder="1" applyAlignment="1">
      <alignment horizontal="center" vertical="center"/>
    </xf>
    <xf numFmtId="0" fontId="19" fillId="0" borderId="8" xfId="1" applyFont="1" applyBorder="1" applyAlignment="1">
      <alignment horizontal="center" vertical="center"/>
    </xf>
    <xf numFmtId="0" fontId="19" fillId="0" borderId="3" xfId="1" applyFont="1" applyBorder="1" applyAlignment="1">
      <alignment horizontal="center" vertical="center"/>
    </xf>
    <xf numFmtId="0" fontId="19" fillId="0" borderId="4" xfId="1" applyFont="1" applyBorder="1" applyAlignment="1">
      <alignment horizontal="center" vertical="center"/>
    </xf>
    <xf numFmtId="49" fontId="26" fillId="0" borderId="9" xfId="1" applyNumberFormat="1" applyFont="1" applyBorder="1" applyAlignment="1">
      <alignment horizontal="center"/>
    </xf>
    <xf numFmtId="49" fontId="26" fillId="0" borderId="11" xfId="1" applyNumberFormat="1" applyFont="1" applyBorder="1" applyAlignment="1">
      <alignment horizontal="center"/>
    </xf>
    <xf numFmtId="49" fontId="26" fillId="0" borderId="10" xfId="1" applyNumberFormat="1" applyFont="1" applyBorder="1" applyAlignment="1">
      <alignment horizontal="center"/>
    </xf>
    <xf numFmtId="0" fontId="19" fillId="0" borderId="6" xfId="1" applyFont="1" applyBorder="1" applyAlignment="1">
      <alignment horizontal="center"/>
    </xf>
    <xf numFmtId="0" fontId="19" fillId="0" borderId="7" xfId="1" applyFont="1" applyBorder="1" applyAlignment="1">
      <alignment horizontal="center"/>
    </xf>
    <xf numFmtId="0" fontId="19" fillId="0" borderId="8" xfId="1" applyFont="1" applyBorder="1" applyAlignment="1">
      <alignment horizontal="center"/>
    </xf>
    <xf numFmtId="0" fontId="18" fillId="0" borderId="3" xfId="1" applyFont="1" applyBorder="1" applyAlignment="1">
      <alignment horizontal="center" vertical="center"/>
    </xf>
    <xf numFmtId="0" fontId="18" fillId="0" borderId="12" xfId="1" applyFont="1" applyBorder="1" applyAlignment="1">
      <alignment horizontal="center" vertical="center"/>
    </xf>
    <xf numFmtId="0" fontId="18" fillId="0" borderId="4" xfId="1" applyFont="1" applyBorder="1" applyAlignment="1">
      <alignment horizontal="center" vertical="center"/>
    </xf>
    <xf numFmtId="0" fontId="18" fillId="0" borderId="3" xfId="1" applyFont="1" applyBorder="1" applyAlignment="1">
      <alignment horizontal="center"/>
    </xf>
    <xf numFmtId="0" fontId="18" fillId="0" borderId="12" xfId="1" applyFont="1" applyBorder="1" applyAlignment="1">
      <alignment horizontal="center"/>
    </xf>
    <xf numFmtId="0" fontId="18" fillId="0" borderId="4" xfId="1" applyFont="1" applyBorder="1" applyAlignment="1">
      <alignment horizontal="center"/>
    </xf>
    <xf numFmtId="0" fontId="11" fillId="0" borderId="3" xfId="1" applyFont="1" applyBorder="1" applyAlignment="1">
      <alignment horizontal="center"/>
    </xf>
    <xf numFmtId="0" fontId="11" fillId="0" borderId="12" xfId="1" applyFont="1" applyBorder="1" applyAlignment="1">
      <alignment horizontal="center"/>
    </xf>
    <xf numFmtId="0" fontId="12" fillId="0" borderId="9" xfId="1" applyFont="1" applyBorder="1" applyAlignment="1">
      <alignment horizontal="left" vertical="center" indent="1"/>
    </xf>
    <xf numFmtId="0" fontId="12" fillId="0" borderId="11" xfId="1" applyFont="1" applyBorder="1" applyAlignment="1">
      <alignment horizontal="left" vertical="center" indent="1"/>
    </xf>
    <xf numFmtId="0" fontId="21" fillId="0" borderId="6" xfId="1" applyFont="1" applyBorder="1" applyAlignment="1">
      <alignment horizontal="center" vertical="center" textRotation="90"/>
    </xf>
    <xf numFmtId="0" fontId="21" fillId="0" borderId="2" xfId="1" applyFont="1" applyBorder="1" applyAlignment="1">
      <alignment horizontal="center" vertical="center" textRotation="90"/>
    </xf>
    <xf numFmtId="0" fontId="21" fillId="0" borderId="3" xfId="1" applyFont="1" applyBorder="1" applyAlignment="1">
      <alignment horizontal="center" vertical="center" textRotation="90"/>
    </xf>
    <xf numFmtId="0" fontId="17" fillId="5" borderId="9" xfId="1" applyFont="1" applyFill="1" applyBorder="1" applyAlignment="1">
      <alignment horizontal="left"/>
    </xf>
    <xf numFmtId="0" fontId="17" fillId="5" borderId="11" xfId="1" applyFont="1" applyFill="1" applyBorder="1" applyAlignment="1">
      <alignment horizontal="left"/>
    </xf>
    <xf numFmtId="10" fontId="17" fillId="0" borderId="9" xfId="2" applyNumberFormat="1" applyFont="1" applyBorder="1" applyAlignment="1" applyProtection="1">
      <alignment horizontal="center"/>
    </xf>
    <xf numFmtId="10" fontId="17" fillId="0" borderId="11" xfId="2" applyNumberFormat="1" applyFont="1" applyBorder="1" applyAlignment="1" applyProtection="1">
      <alignment horizontal="center"/>
    </xf>
    <xf numFmtId="10" fontId="17" fillId="0" borderId="10" xfId="2" applyNumberFormat="1" applyFont="1" applyBorder="1" applyAlignment="1" applyProtection="1">
      <alignment horizontal="center"/>
    </xf>
    <xf numFmtId="10" fontId="17" fillId="0" borderId="12" xfId="2" applyNumberFormat="1" applyFont="1" applyBorder="1" applyAlignment="1" applyProtection="1">
      <alignment horizontal="center"/>
    </xf>
    <xf numFmtId="10" fontId="17" fillId="0" borderId="4" xfId="2" applyNumberFormat="1" applyFont="1" applyBorder="1" applyAlignment="1" applyProtection="1">
      <alignment horizontal="center"/>
    </xf>
    <xf numFmtId="0" fontId="12" fillId="0" borderId="10" xfId="1" applyFont="1" applyBorder="1" applyAlignment="1">
      <alignment horizontal="left" vertical="center" indent="1"/>
    </xf>
    <xf numFmtId="0" fontId="10" fillId="0" borderId="9" xfId="1" applyFont="1" applyBorder="1" applyAlignment="1">
      <alignment horizontal="left"/>
    </xf>
    <xf numFmtId="0" fontId="10" fillId="0" borderId="10" xfId="1" applyFont="1" applyBorder="1" applyAlignment="1">
      <alignment horizontal="left"/>
    </xf>
    <xf numFmtId="0" fontId="10" fillId="0" borderId="9" xfId="1" applyFont="1" applyBorder="1" applyAlignment="1">
      <alignment horizontal="center"/>
    </xf>
    <xf numFmtId="0" fontId="10" fillId="0" borderId="11" xfId="1" applyFont="1" applyBorder="1" applyAlignment="1">
      <alignment horizontal="center"/>
    </xf>
    <xf numFmtId="0" fontId="10" fillId="0" borderId="10" xfId="1" applyFont="1" applyBorder="1" applyAlignment="1">
      <alignment horizontal="center"/>
    </xf>
    <xf numFmtId="166" fontId="26" fillId="0" borderId="9" xfId="2" applyNumberFormat="1" applyFont="1" applyBorder="1" applyAlignment="1" applyProtection="1">
      <alignment horizontal="center"/>
    </xf>
    <xf numFmtId="166" fontId="26" fillId="0" borderId="11" xfId="2" applyNumberFormat="1" applyFont="1" applyBorder="1" applyAlignment="1" applyProtection="1">
      <alignment horizontal="center"/>
    </xf>
    <xf numFmtId="166" fontId="26" fillId="0" borderId="10" xfId="2" applyNumberFormat="1" applyFont="1" applyBorder="1" applyAlignment="1" applyProtection="1">
      <alignment horizontal="center"/>
    </xf>
    <xf numFmtId="0" fontId="10" fillId="0" borderId="2" xfId="0" applyFont="1" applyBorder="1" applyAlignment="1" applyProtection="1">
      <alignment horizontal="center"/>
      <protection locked="0"/>
    </xf>
    <xf numFmtId="0" fontId="10" fillId="0" borderId="1" xfId="0" applyFont="1" applyBorder="1" applyAlignment="1" applyProtection="1">
      <alignment horizontal="center"/>
      <protection locked="0"/>
    </xf>
    <xf numFmtId="0" fontId="56" fillId="0" borderId="9" xfId="1" applyFont="1" applyBorder="1" applyAlignment="1">
      <alignment horizontal="center"/>
    </xf>
    <xf numFmtId="0" fontId="56" fillId="0" borderId="11" xfId="1" applyFont="1" applyBorder="1" applyAlignment="1">
      <alignment horizontal="center"/>
    </xf>
    <xf numFmtId="0" fontId="10" fillId="0" borderId="6" xfId="0" applyFont="1" applyBorder="1" applyAlignment="1" applyProtection="1">
      <alignment horizontal="center"/>
      <protection locked="0"/>
    </xf>
    <xf numFmtId="0" fontId="10" fillId="0" borderId="17" xfId="0" applyFont="1" applyBorder="1" applyAlignment="1" applyProtection="1">
      <alignment horizontal="center"/>
      <protection locked="0"/>
    </xf>
    <xf numFmtId="0" fontId="11" fillId="0" borderId="9" xfId="1" applyFont="1" applyBorder="1" applyAlignment="1">
      <alignment horizontal="left"/>
    </xf>
    <xf numFmtId="0" fontId="11" fillId="0" borderId="11" xfId="1" applyFont="1" applyBorder="1" applyAlignment="1">
      <alignment horizontal="left"/>
    </xf>
    <xf numFmtId="0" fontId="11" fillId="0" borderId="10" xfId="1" applyFont="1" applyBorder="1" applyAlignment="1">
      <alignment horizontal="left"/>
    </xf>
    <xf numFmtId="165" fontId="17" fillId="0" borderId="9" xfId="1" applyNumberFormat="1" applyFont="1" applyBorder="1" applyAlignment="1">
      <alignment horizontal="center"/>
    </xf>
    <xf numFmtId="165" fontId="17" fillId="0" borderId="11" xfId="1" applyNumberFormat="1" applyFont="1" applyBorder="1" applyAlignment="1">
      <alignment horizontal="center"/>
    </xf>
    <xf numFmtId="165" fontId="17" fillId="0" borderId="10" xfId="1" applyNumberFormat="1" applyFont="1" applyBorder="1" applyAlignment="1">
      <alignment horizontal="center"/>
    </xf>
    <xf numFmtId="0" fontId="10" fillId="0" borderId="24" xfId="1" applyFont="1" applyBorder="1" applyAlignment="1">
      <alignment horizontal="center"/>
    </xf>
    <xf numFmtId="0" fontId="10" fillId="0" borderId="6" xfId="0" applyFont="1" applyBorder="1" applyAlignment="1">
      <alignment horizontal="center"/>
    </xf>
    <xf numFmtId="0" fontId="10" fillId="0" borderId="17" xfId="0" applyFont="1" applyBorder="1" applyAlignment="1">
      <alignment horizontal="center"/>
    </xf>
    <xf numFmtId="166" fontId="26" fillId="0" borderId="3" xfId="2" applyNumberFormat="1" applyFont="1" applyBorder="1" applyAlignment="1" applyProtection="1">
      <alignment horizontal="center"/>
    </xf>
    <xf numFmtId="166" fontId="26" fillId="0" borderId="12" xfId="2" applyNumberFormat="1" applyFont="1" applyBorder="1" applyAlignment="1" applyProtection="1">
      <alignment horizontal="center"/>
    </xf>
    <xf numFmtId="166" fontId="26" fillId="0" borderId="4" xfId="2" applyNumberFormat="1" applyFont="1" applyBorder="1" applyAlignment="1" applyProtection="1">
      <alignment horizontal="center"/>
    </xf>
    <xf numFmtId="166" fontId="11" fillId="0" borderId="2" xfId="2" applyNumberFormat="1" applyFont="1" applyFill="1" applyBorder="1" applyAlignment="1" applyProtection="1">
      <alignment horizontal="center"/>
    </xf>
    <xf numFmtId="166" fontId="11" fillId="0" borderId="0" xfId="2" applyNumberFormat="1" applyFont="1" applyFill="1" applyAlignment="1" applyProtection="1">
      <alignment horizontal="center"/>
    </xf>
    <xf numFmtId="166" fontId="11" fillId="0" borderId="1" xfId="2" applyNumberFormat="1" applyFont="1" applyFill="1" applyBorder="1" applyAlignment="1" applyProtection="1">
      <alignment horizontal="center"/>
    </xf>
    <xf numFmtId="0" fontId="17" fillId="4" borderId="6" xfId="1" applyFont="1" applyFill="1" applyBorder="1" applyAlignment="1">
      <alignment horizontal="left"/>
    </xf>
    <xf numFmtId="0" fontId="17" fillId="4" borderId="8" xfId="1" applyFont="1" applyFill="1" applyBorder="1" applyAlignment="1">
      <alignment horizontal="left"/>
    </xf>
    <xf numFmtId="0" fontId="17" fillId="0" borderId="6" xfId="1" applyFont="1" applyBorder="1" applyAlignment="1">
      <alignment horizontal="center"/>
    </xf>
    <xf numFmtId="0" fontId="17" fillId="0" borderId="7" xfId="1" applyFont="1" applyBorder="1" applyAlignment="1">
      <alignment horizontal="center"/>
    </xf>
    <xf numFmtId="0" fontId="17" fillId="0" borderId="17" xfId="1" applyFont="1" applyBorder="1" applyAlignment="1">
      <alignment horizontal="center"/>
    </xf>
    <xf numFmtId="0" fontId="17" fillId="0" borderId="8" xfId="1" applyFont="1" applyBorder="1" applyAlignment="1">
      <alignment horizontal="center"/>
    </xf>
    <xf numFmtId="0" fontId="24" fillId="8" borderId="2" xfId="1" applyFont="1" applyFill="1" applyBorder="1" applyAlignment="1" applyProtection="1">
      <alignment horizontal="center"/>
      <protection locked="0"/>
    </xf>
    <xf numFmtId="0" fontId="24" fillId="8" borderId="0" xfId="1" applyFont="1" applyFill="1" applyAlignment="1" applyProtection="1">
      <alignment horizontal="center"/>
      <protection locked="0"/>
    </xf>
    <xf numFmtId="165" fontId="24" fillId="0" borderId="0" xfId="1" applyNumberFormat="1" applyFont="1" applyAlignment="1">
      <alignment horizontal="center"/>
    </xf>
    <xf numFmtId="165" fontId="24" fillId="0" borderId="5" xfId="1" applyNumberFormat="1" applyFont="1" applyBorder="1" applyAlignment="1">
      <alignment horizontal="center"/>
    </xf>
    <xf numFmtId="0" fontId="24" fillId="8" borderId="2" xfId="1" applyFont="1" applyFill="1" applyBorder="1" applyAlignment="1">
      <alignment horizontal="center"/>
    </xf>
    <xf numFmtId="0" fontId="24" fillId="8" borderId="0" xfId="1" applyFont="1" applyFill="1" applyAlignment="1">
      <alignment horizontal="center"/>
    </xf>
    <xf numFmtId="0" fontId="24" fillId="8" borderId="5" xfId="1" applyFont="1" applyFill="1" applyBorder="1" applyAlignment="1">
      <alignment horizontal="center"/>
    </xf>
    <xf numFmtId="0" fontId="24" fillId="8" borderId="3" xfId="1" applyFont="1" applyFill="1" applyBorder="1" applyAlignment="1">
      <alignment horizontal="center"/>
    </xf>
    <xf numFmtId="0" fontId="24" fillId="8" borderId="12" xfId="1" applyFont="1" applyFill="1" applyBorder="1" applyAlignment="1">
      <alignment horizontal="center"/>
    </xf>
    <xf numFmtId="0" fontId="24" fillId="8" borderId="4" xfId="1" applyFont="1" applyFill="1" applyBorder="1" applyAlignment="1">
      <alignment horizontal="center"/>
    </xf>
    <xf numFmtId="0" fontId="30" fillId="0" borderId="3" xfId="1" applyFont="1" applyBorder="1" applyAlignment="1">
      <alignment horizontal="center" wrapText="1"/>
    </xf>
    <xf numFmtId="0" fontId="30" fillId="0" borderId="12" xfId="1" applyFont="1" applyBorder="1" applyAlignment="1">
      <alignment horizontal="center" wrapText="1"/>
    </xf>
    <xf numFmtId="0" fontId="30" fillId="0" borderId="4" xfId="1" applyFont="1" applyBorder="1" applyAlignment="1">
      <alignment horizontal="center" wrapText="1"/>
    </xf>
    <xf numFmtId="2" fontId="24" fillId="8" borderId="2" xfId="1" applyNumberFormat="1" applyFont="1" applyFill="1" applyBorder="1" applyAlignment="1">
      <alignment horizontal="center"/>
    </xf>
    <xf numFmtId="2" fontId="24" fillId="8" borderId="0" xfId="1" applyNumberFormat="1" applyFont="1" applyFill="1" applyAlignment="1">
      <alignment horizontal="center"/>
    </xf>
    <xf numFmtId="2" fontId="24" fillId="8" borderId="1" xfId="1" applyNumberFormat="1" applyFont="1" applyFill="1" applyBorder="1" applyAlignment="1">
      <alignment horizontal="center"/>
    </xf>
    <xf numFmtId="2" fontId="24" fillId="8" borderId="14" xfId="1" applyNumberFormat="1" applyFont="1" applyFill="1" applyBorder="1" applyAlignment="1">
      <alignment horizontal="center"/>
    </xf>
    <xf numFmtId="2" fontId="24" fillId="8" borderId="5" xfId="1" applyNumberFormat="1" applyFont="1" applyFill="1" applyBorder="1" applyAlignment="1">
      <alignment horizontal="center"/>
    </xf>
    <xf numFmtId="0" fontId="33" fillId="0" borderId="2" xfId="1" applyFont="1" applyBorder="1" applyAlignment="1">
      <alignment horizontal="center"/>
    </xf>
    <xf numFmtId="0" fontId="33" fillId="0" borderId="0" xfId="1" applyFont="1" applyAlignment="1">
      <alignment horizontal="center"/>
    </xf>
    <xf numFmtId="0" fontId="33" fillId="0" borderId="1" xfId="1" applyFont="1" applyBorder="1" applyAlignment="1">
      <alignment horizontal="center"/>
    </xf>
    <xf numFmtId="0" fontId="33" fillId="0" borderId="14" xfId="1" applyFont="1" applyBorder="1" applyAlignment="1">
      <alignment horizontal="center"/>
    </xf>
    <xf numFmtId="0" fontId="33" fillId="0" borderId="5" xfId="1" applyFont="1" applyBorder="1" applyAlignment="1">
      <alignment horizontal="center"/>
    </xf>
    <xf numFmtId="0" fontId="11" fillId="0" borderId="9" xfId="0" applyFont="1" applyBorder="1" applyAlignment="1">
      <alignment horizontal="left"/>
    </xf>
    <xf numFmtId="0" fontId="11" fillId="0" borderId="10" xfId="0" applyFont="1" applyBorder="1" applyAlignment="1">
      <alignment horizontal="left"/>
    </xf>
    <xf numFmtId="165" fontId="11" fillId="0" borderId="9" xfId="0" applyNumberFormat="1" applyFont="1" applyBorder="1" applyAlignment="1">
      <alignment horizontal="center"/>
    </xf>
    <xf numFmtId="165" fontId="11" fillId="0" borderId="11" xfId="0" applyNumberFormat="1" applyFont="1" applyBorder="1" applyAlignment="1">
      <alignment horizontal="center"/>
    </xf>
    <xf numFmtId="165" fontId="11" fillId="0" borderId="10" xfId="0" applyNumberFormat="1" applyFont="1" applyBorder="1" applyAlignment="1">
      <alignment horizontal="center"/>
    </xf>
    <xf numFmtId="2" fontId="24" fillId="8" borderId="3" xfId="1" applyNumberFormat="1" applyFont="1" applyFill="1" applyBorder="1" applyAlignment="1">
      <alignment horizontal="center"/>
    </xf>
    <xf numFmtId="2" fontId="24" fillId="8" borderId="12" xfId="1" applyNumberFormat="1" applyFont="1" applyFill="1" applyBorder="1" applyAlignment="1">
      <alignment horizontal="center"/>
    </xf>
    <xf numFmtId="2" fontId="24" fillId="8" borderId="13" xfId="1" applyNumberFormat="1" applyFont="1" applyFill="1" applyBorder="1" applyAlignment="1">
      <alignment horizontal="center"/>
    </xf>
    <xf numFmtId="0" fontId="33" fillId="0" borderId="6" xfId="1" applyFont="1" applyBorder="1" applyAlignment="1">
      <alignment horizontal="center"/>
    </xf>
    <xf numFmtId="0" fontId="33" fillId="0" borderId="7" xfId="1" applyFont="1" applyBorder="1" applyAlignment="1">
      <alignment horizontal="center"/>
    </xf>
    <xf numFmtId="0" fontId="33" fillId="0" borderId="17" xfId="1" applyFont="1" applyBorder="1" applyAlignment="1">
      <alignment horizontal="center"/>
    </xf>
    <xf numFmtId="0" fontId="33" fillId="0" borderId="8" xfId="1" applyFont="1" applyBorder="1" applyAlignment="1">
      <alignment horizontal="center"/>
    </xf>
    <xf numFmtId="165" fontId="24" fillId="0" borderId="9" xfId="1" applyNumberFormat="1" applyFont="1" applyBorder="1" applyAlignment="1">
      <alignment horizontal="center"/>
    </xf>
    <xf numFmtId="165" fontId="24" fillId="0" borderId="11" xfId="1" applyNumberFormat="1" applyFont="1" applyBorder="1" applyAlignment="1">
      <alignment horizontal="center"/>
    </xf>
    <xf numFmtId="165" fontId="24" fillId="0" borderId="24" xfId="1" applyNumberFormat="1" applyFont="1" applyBorder="1" applyAlignment="1">
      <alignment horizontal="center"/>
    </xf>
    <xf numFmtId="165" fontId="24" fillId="0" borderId="15" xfId="1" applyNumberFormat="1" applyFont="1" applyBorder="1" applyAlignment="1">
      <alignment horizontal="center"/>
    </xf>
    <xf numFmtId="165" fontId="24" fillId="0" borderId="10" xfId="1" applyNumberFormat="1" applyFont="1" applyBorder="1" applyAlignment="1">
      <alignment horizontal="center"/>
    </xf>
    <xf numFmtId="0" fontId="24" fillId="8" borderId="1" xfId="1" applyFont="1" applyFill="1" applyBorder="1" applyAlignment="1">
      <alignment horizontal="center"/>
    </xf>
    <xf numFmtId="49" fontId="24" fillId="0" borderId="2" xfId="1" applyNumberFormat="1" applyFont="1" applyBorder="1" applyAlignment="1">
      <alignment horizontal="center"/>
    </xf>
    <xf numFmtId="49" fontId="24" fillId="0" borderId="0" xfId="1" applyNumberFormat="1" applyFont="1" applyAlignment="1">
      <alignment horizontal="center"/>
    </xf>
    <xf numFmtId="49" fontId="24" fillId="0" borderId="1" xfId="1" applyNumberFormat="1" applyFont="1" applyBorder="1" applyAlignment="1">
      <alignment horizontal="center"/>
    </xf>
    <xf numFmtId="0" fontId="25" fillId="0" borderId="7" xfId="1" applyFont="1" applyBorder="1" applyAlignment="1">
      <alignment horizontal="center"/>
    </xf>
    <xf numFmtId="0" fontId="25" fillId="0" borderId="8" xfId="1" applyFont="1" applyBorder="1" applyAlignment="1">
      <alignment horizontal="center"/>
    </xf>
    <xf numFmtId="49" fontId="24" fillId="0" borderId="5" xfId="1" applyNumberFormat="1" applyFont="1" applyBorder="1" applyAlignment="1">
      <alignment horizontal="center"/>
    </xf>
    <xf numFmtId="49" fontId="24" fillId="0" borderId="3" xfId="1" applyNumberFormat="1" applyFont="1" applyBorder="1" applyAlignment="1">
      <alignment horizontal="center"/>
    </xf>
    <xf numFmtId="49" fontId="24" fillId="0" borderId="12" xfId="1" applyNumberFormat="1" applyFont="1" applyBorder="1" applyAlignment="1">
      <alignment horizontal="center"/>
    </xf>
    <xf numFmtId="49" fontId="24" fillId="0" borderId="13" xfId="1" applyNumberFormat="1" applyFont="1" applyBorder="1" applyAlignment="1">
      <alignment horizontal="center"/>
    </xf>
    <xf numFmtId="49" fontId="25" fillId="0" borderId="2" xfId="1" applyNumberFormat="1" applyFont="1" applyBorder="1" applyAlignment="1">
      <alignment horizontal="center" vertical="center"/>
    </xf>
    <xf numFmtId="49" fontId="25" fillId="0" borderId="0" xfId="1" applyNumberFormat="1" applyFont="1" applyAlignment="1">
      <alignment horizontal="center" vertical="center"/>
    </xf>
    <xf numFmtId="49" fontId="25" fillId="0" borderId="1" xfId="1" applyNumberFormat="1" applyFont="1" applyBorder="1" applyAlignment="1">
      <alignment horizontal="center" vertical="center"/>
    </xf>
    <xf numFmtId="0" fontId="25" fillId="0" borderId="2" xfId="1" applyFont="1" applyBorder="1" applyAlignment="1">
      <alignment horizontal="center"/>
    </xf>
    <xf numFmtId="0" fontId="25" fillId="0" borderId="0" xfId="1" applyFont="1" applyAlignment="1">
      <alignment horizontal="center"/>
    </xf>
    <xf numFmtId="0" fontId="25" fillId="0" borderId="1" xfId="1" applyFont="1" applyBorder="1" applyAlignment="1">
      <alignment horizontal="center"/>
    </xf>
    <xf numFmtId="0" fontId="25" fillId="0" borderId="5" xfId="1" applyFont="1" applyBorder="1" applyAlignment="1">
      <alignment horizontal="center"/>
    </xf>
    <xf numFmtId="0" fontId="11" fillId="0" borderId="9" xfId="0" applyFont="1" applyBorder="1" applyAlignment="1">
      <alignment horizontal="center"/>
    </xf>
    <xf numFmtId="0" fontId="11" fillId="0" borderId="11" xfId="0" applyFont="1" applyBorder="1" applyAlignment="1">
      <alignment horizontal="center"/>
    </xf>
    <xf numFmtId="0" fontId="11" fillId="0" borderId="10" xfId="0" applyFont="1" applyBorder="1" applyAlignment="1">
      <alignment horizontal="center"/>
    </xf>
    <xf numFmtId="165" fontId="11" fillId="0" borderId="24" xfId="0" applyNumberFormat="1" applyFont="1" applyBorder="1" applyAlignment="1">
      <alignment horizontal="center"/>
    </xf>
    <xf numFmtId="0" fontId="25" fillId="0" borderId="11" xfId="1" applyFont="1" applyBorder="1" applyAlignment="1">
      <alignment horizontal="center" wrapText="1"/>
    </xf>
    <xf numFmtId="165" fontId="25" fillId="0" borderId="6" xfId="2" applyNumberFormat="1" applyFont="1" applyBorder="1" applyAlignment="1">
      <alignment horizontal="center"/>
    </xf>
    <xf numFmtId="165" fontId="25" fillId="0" borderId="7" xfId="2" applyNumberFormat="1" applyFont="1" applyBorder="1" applyAlignment="1">
      <alignment horizontal="center"/>
    </xf>
    <xf numFmtId="165" fontId="25" fillId="0" borderId="8" xfId="2" applyNumberFormat="1" applyFont="1" applyBorder="1" applyAlignment="1">
      <alignment horizontal="center"/>
    </xf>
    <xf numFmtId="165" fontId="25" fillId="0" borderId="2" xfId="2" applyNumberFormat="1" applyFont="1" applyBorder="1" applyAlignment="1">
      <alignment horizontal="center"/>
    </xf>
    <xf numFmtId="165" fontId="25" fillId="0" borderId="0" xfId="2" applyNumberFormat="1" applyFont="1" applyAlignment="1">
      <alignment horizontal="center"/>
    </xf>
    <xf numFmtId="165" fontId="25" fillId="0" borderId="5" xfId="2" applyNumberFormat="1" applyFont="1" applyBorder="1" applyAlignment="1">
      <alignment horizontal="center"/>
    </xf>
    <xf numFmtId="165" fontId="25" fillId="0" borderId="3" xfId="2" applyNumberFormat="1" applyFont="1" applyBorder="1" applyAlignment="1">
      <alignment horizontal="center"/>
    </xf>
    <xf numFmtId="165" fontId="25" fillId="0" borderId="12" xfId="2" applyNumberFormat="1" applyFont="1" applyBorder="1" applyAlignment="1">
      <alignment horizontal="center"/>
    </xf>
    <xf numFmtId="165" fontId="25" fillId="0" borderId="4" xfId="2" applyNumberFormat="1" applyFont="1" applyBorder="1" applyAlignment="1">
      <alignment horizontal="center"/>
    </xf>
    <xf numFmtId="165" fontId="11" fillId="0" borderId="6" xfId="1" applyNumberFormat="1" applyFont="1" applyBorder="1" applyAlignment="1">
      <alignment horizontal="center"/>
    </xf>
    <xf numFmtId="165" fontId="11" fillId="0" borderId="8" xfId="1" applyNumberFormat="1" applyFont="1" applyBorder="1" applyAlignment="1">
      <alignment horizontal="center"/>
    </xf>
    <xf numFmtId="165" fontId="11" fillId="0" borderId="3" xfId="1" applyNumberFormat="1" applyFont="1" applyBorder="1" applyAlignment="1">
      <alignment horizontal="center"/>
    </xf>
    <xf numFmtId="165" fontId="11" fillId="0" borderId="4" xfId="1" applyNumberFormat="1" applyFont="1" applyBorder="1" applyAlignment="1">
      <alignment horizontal="center"/>
    </xf>
    <xf numFmtId="49" fontId="10" fillId="3" borderId="2" xfId="1" applyNumberFormat="1" applyFont="1" applyFill="1" applyBorder="1" applyAlignment="1">
      <alignment horizontal="center"/>
    </xf>
    <xf numFmtId="49" fontId="10" fillId="3" borderId="5" xfId="1" applyNumberFormat="1" applyFont="1" applyFill="1" applyBorder="1" applyAlignment="1">
      <alignment horizontal="center"/>
    </xf>
    <xf numFmtId="2" fontId="10" fillId="0" borderId="2" xfId="1" applyNumberFormat="1" applyFont="1" applyBorder="1" applyAlignment="1">
      <alignment horizontal="center"/>
    </xf>
    <xf numFmtId="2" fontId="10" fillId="0" borderId="5" xfId="1" applyNumberFormat="1" applyFont="1" applyBorder="1" applyAlignment="1">
      <alignment horizontal="center"/>
    </xf>
    <xf numFmtId="0" fontId="19" fillId="13" borderId="6" xfId="1" applyFont="1" applyFill="1" applyBorder="1" applyAlignment="1">
      <alignment horizontal="center" vertical="center"/>
    </xf>
    <xf numFmtId="0" fontId="19" fillId="13" borderId="7" xfId="1" applyFont="1" applyFill="1" applyBorder="1" applyAlignment="1">
      <alignment horizontal="center" vertical="center"/>
    </xf>
    <xf numFmtId="0" fontId="19" fillId="13" borderId="2" xfId="1" applyFont="1" applyFill="1" applyBorder="1" applyAlignment="1">
      <alignment horizontal="center" vertical="center"/>
    </xf>
    <xf numFmtId="0" fontId="19" fillId="13" borderId="0" xfId="1" applyFont="1" applyFill="1" applyAlignment="1">
      <alignment horizontal="center" vertical="center"/>
    </xf>
    <xf numFmtId="0" fontId="12" fillId="0" borderId="6" xfId="1" applyFont="1" applyBorder="1" applyAlignment="1">
      <alignment horizontal="center"/>
    </xf>
    <xf numFmtId="0" fontId="12" fillId="0" borderId="8" xfId="1" applyFont="1" applyBorder="1" applyAlignment="1">
      <alignment horizontal="center"/>
    </xf>
    <xf numFmtId="0" fontId="5" fillId="0" borderId="2" xfId="1" applyBorder="1"/>
    <xf numFmtId="0" fontId="5" fillId="0" borderId="5" xfId="1" applyBorder="1"/>
    <xf numFmtId="0" fontId="15" fillId="3" borderId="3" xfId="1" applyFont="1" applyFill="1" applyBorder="1" applyAlignment="1">
      <alignment horizontal="center" vertical="center"/>
    </xf>
    <xf numFmtId="0" fontId="15" fillId="3" borderId="12" xfId="1" applyFont="1" applyFill="1" applyBorder="1" applyAlignment="1">
      <alignment horizontal="center" vertical="center"/>
    </xf>
    <xf numFmtId="49" fontId="10" fillId="3" borderId="3" xfId="1" applyNumberFormat="1" applyFont="1" applyFill="1" applyBorder="1" applyAlignment="1">
      <alignment horizontal="center"/>
    </xf>
    <xf numFmtId="49" fontId="10" fillId="3" borderId="4" xfId="1" applyNumberFormat="1" applyFont="1" applyFill="1" applyBorder="1" applyAlignment="1">
      <alignment horizontal="center"/>
    </xf>
    <xf numFmtId="165" fontId="11" fillId="0" borderId="50" xfId="1" applyNumberFormat="1" applyFont="1" applyBorder="1" applyAlignment="1">
      <alignment horizontal="center"/>
    </xf>
    <xf numFmtId="165" fontId="11" fillId="0" borderId="77" xfId="1" applyNumberFormat="1" applyFont="1" applyBorder="1" applyAlignment="1">
      <alignment horizontal="center"/>
    </xf>
    <xf numFmtId="0" fontId="10" fillId="0" borderId="8" xfId="0" applyFont="1" applyBorder="1" applyAlignment="1">
      <alignment horizontal="center"/>
    </xf>
    <xf numFmtId="165" fontId="17" fillId="0" borderId="9" xfId="0" applyNumberFormat="1" applyFont="1" applyBorder="1" applyAlignment="1">
      <alignment horizontal="center"/>
    </xf>
    <xf numFmtId="165" fontId="17" fillId="0" borderId="10" xfId="0" applyNumberFormat="1" applyFont="1" applyBorder="1" applyAlignment="1">
      <alignment horizontal="center"/>
    </xf>
    <xf numFmtId="49" fontId="10" fillId="3" borderId="3" xfId="0" applyNumberFormat="1" applyFont="1" applyFill="1" applyBorder="1" applyAlignment="1">
      <alignment horizontal="center"/>
    </xf>
    <xf numFmtId="49" fontId="10" fillId="3" borderId="4" xfId="0" applyNumberFormat="1" applyFont="1" applyFill="1" applyBorder="1" applyAlignment="1">
      <alignment horizontal="center"/>
    </xf>
    <xf numFmtId="0" fontId="12" fillId="0" borderId="6" xfId="0" applyFont="1" applyBorder="1" applyAlignment="1">
      <alignment horizontal="center"/>
    </xf>
    <xf numFmtId="0" fontId="12" fillId="0" borderId="8" xfId="0" applyFont="1" applyBorder="1" applyAlignment="1">
      <alignment horizontal="center"/>
    </xf>
    <xf numFmtId="0" fontId="0" fillId="0" borderId="2" xfId="0" applyBorder="1"/>
    <xf numFmtId="0" fontId="0" fillId="0" borderId="5" xfId="0" applyBorder="1"/>
    <xf numFmtId="49" fontId="10" fillId="3" borderId="2" xfId="0" applyNumberFormat="1" applyFont="1" applyFill="1" applyBorder="1" applyAlignment="1">
      <alignment horizontal="center"/>
    </xf>
    <xf numFmtId="49" fontId="10" fillId="3" borderId="5" xfId="0" applyNumberFormat="1" applyFont="1" applyFill="1" applyBorder="1" applyAlignment="1">
      <alignment horizontal="center"/>
    </xf>
    <xf numFmtId="0" fontId="10" fillId="3" borderId="2" xfId="0" applyFont="1" applyFill="1" applyBorder="1" applyAlignment="1">
      <alignment horizontal="center"/>
    </xf>
    <xf numFmtId="0" fontId="10" fillId="3" borderId="5" xfId="0" applyFont="1" applyFill="1" applyBorder="1" applyAlignment="1">
      <alignment horizontal="center"/>
    </xf>
    <xf numFmtId="2" fontId="10" fillId="0" borderId="2" xfId="0" applyNumberFormat="1" applyFont="1" applyBorder="1" applyAlignment="1">
      <alignment horizontal="center"/>
    </xf>
    <xf numFmtId="2" fontId="10" fillId="0" borderId="5" xfId="0" applyNumberFormat="1" applyFont="1" applyBorder="1" applyAlignment="1">
      <alignment horizontal="center"/>
    </xf>
    <xf numFmtId="0" fontId="20" fillId="0" borderId="9" xfId="0" applyFont="1" applyBorder="1" applyAlignment="1">
      <alignment horizontal="left"/>
    </xf>
    <xf numFmtId="0" fontId="20" fillId="0" borderId="10" xfId="0" applyFont="1" applyBorder="1" applyAlignment="1">
      <alignment horizontal="left"/>
    </xf>
    <xf numFmtId="165" fontId="20" fillId="0" borderId="9" xfId="0" applyNumberFormat="1" applyFont="1" applyBorder="1" applyAlignment="1">
      <alignment horizontal="center"/>
    </xf>
    <xf numFmtId="165" fontId="20" fillId="0" borderId="10" xfId="0" applyNumberFormat="1" applyFont="1" applyBorder="1" applyAlignment="1">
      <alignment horizontal="center"/>
    </xf>
    <xf numFmtId="165" fontId="11" fillId="0" borderId="6" xfId="0" applyNumberFormat="1" applyFont="1" applyBorder="1" applyAlignment="1">
      <alignment horizontal="center"/>
    </xf>
    <xf numFmtId="165" fontId="11" fillId="0" borderId="8" xfId="0" applyNumberFormat="1" applyFont="1" applyBorder="1" applyAlignment="1">
      <alignment horizontal="center"/>
    </xf>
    <xf numFmtId="0" fontId="10" fillId="0" borderId="10" xfId="0" applyFont="1" applyBorder="1" applyAlignment="1">
      <alignment horizontal="center"/>
    </xf>
    <xf numFmtId="165" fontId="11" fillId="0" borderId="3" xfId="0" applyNumberFormat="1" applyFont="1" applyBorder="1" applyAlignment="1">
      <alignment horizontal="center"/>
    </xf>
    <xf numFmtId="165" fontId="11" fillId="0" borderId="4" xfId="0" applyNumberFormat="1" applyFont="1" applyBorder="1" applyAlignment="1">
      <alignment horizontal="center"/>
    </xf>
    <xf numFmtId="0" fontId="10" fillId="0" borderId="11" xfId="0" applyFont="1" applyBorder="1" applyAlignment="1">
      <alignment horizontal="center"/>
    </xf>
    <xf numFmtId="0" fontId="10" fillId="0" borderId="7" xfId="0" applyFont="1" applyBorder="1" applyAlignment="1">
      <alignment horizontal="center"/>
    </xf>
    <xf numFmtId="0" fontId="10" fillId="3" borderId="1" xfId="0" applyFont="1" applyFill="1" applyBorder="1" applyAlignment="1">
      <alignment horizontal="center"/>
    </xf>
    <xf numFmtId="165" fontId="10" fillId="0" borderId="14" xfId="0" applyNumberFormat="1" applyFont="1" applyBorder="1" applyAlignment="1">
      <alignment horizontal="center" vertical="center"/>
    </xf>
    <xf numFmtId="165" fontId="10" fillId="0" borderId="5" xfId="0" applyNumberFormat="1" applyFont="1" applyBorder="1" applyAlignment="1">
      <alignment horizontal="center" vertical="center"/>
    </xf>
    <xf numFmtId="165" fontId="10" fillId="0" borderId="16" xfId="0" applyNumberFormat="1" applyFont="1" applyBorder="1" applyAlignment="1">
      <alignment horizontal="center" vertical="center"/>
    </xf>
    <xf numFmtId="165" fontId="10" fillId="0" borderId="4" xfId="0" applyNumberFormat="1" applyFont="1" applyBorder="1" applyAlignment="1">
      <alignment horizontal="center" vertical="center"/>
    </xf>
    <xf numFmtId="0" fontId="11" fillId="0" borderId="12" xfId="0" applyFont="1" applyBorder="1" applyAlignment="1">
      <alignment horizontal="center"/>
    </xf>
    <xf numFmtId="0" fontId="11" fillId="0" borderId="4" xfId="0" applyFont="1" applyBorder="1" applyAlignment="1">
      <alignment horizontal="center"/>
    </xf>
    <xf numFmtId="165" fontId="11" fillId="0" borderId="38" xfId="0" applyNumberFormat="1" applyFont="1" applyBorder="1" applyAlignment="1">
      <alignment horizontal="center"/>
    </xf>
    <xf numFmtId="165" fontId="11" fillId="0" borderId="27" xfId="0" applyNumberFormat="1" applyFont="1" applyBorder="1" applyAlignment="1">
      <alignment horizontal="center"/>
    </xf>
    <xf numFmtId="165" fontId="11" fillId="0" borderId="37" xfId="0" applyNumberFormat="1" applyFont="1" applyBorder="1" applyAlignment="1">
      <alignment horizontal="center"/>
    </xf>
    <xf numFmtId="0" fontId="11" fillId="0" borderId="3" xfId="0" applyFont="1" applyBorder="1" applyAlignment="1">
      <alignment horizontal="center"/>
    </xf>
    <xf numFmtId="0" fontId="11" fillId="0" borderId="13" xfId="0" applyFont="1" applyBorder="1" applyAlignment="1">
      <alignment horizontal="center"/>
    </xf>
    <xf numFmtId="165" fontId="11" fillId="0" borderId="12" xfId="0" applyNumberFormat="1" applyFont="1" applyBorder="1" applyAlignment="1">
      <alignment horizontal="center"/>
    </xf>
    <xf numFmtId="165" fontId="20" fillId="0" borderId="11" xfId="0" applyNumberFormat="1" applyFont="1" applyBorder="1" applyAlignment="1">
      <alignment horizontal="center"/>
    </xf>
    <xf numFmtId="165" fontId="11" fillId="0" borderId="7" xfId="0" applyNumberFormat="1" applyFont="1" applyBorder="1" applyAlignment="1">
      <alignment horizontal="center"/>
    </xf>
    <xf numFmtId="0" fontId="10" fillId="0" borderId="1" xfId="0" applyFont="1" applyBorder="1" applyAlignment="1">
      <alignment horizontal="center"/>
    </xf>
    <xf numFmtId="0" fontId="12" fillId="0" borderId="17" xfId="0" applyFont="1" applyBorder="1" applyAlignment="1">
      <alignment horizontal="center"/>
    </xf>
    <xf numFmtId="0" fontId="0" fillId="0" borderId="1" xfId="0" applyBorder="1"/>
    <xf numFmtId="0" fontId="12" fillId="0" borderId="7" xfId="0" applyFont="1" applyBorder="1" applyAlignment="1">
      <alignment horizontal="center"/>
    </xf>
    <xf numFmtId="0" fontId="0" fillId="0" borderId="0" xfId="0"/>
    <xf numFmtId="0" fontId="40" fillId="0" borderId="0" xfId="4" applyFont="1" applyAlignment="1">
      <alignment horizontal="center"/>
    </xf>
    <xf numFmtId="0" fontId="3" fillId="0" borderId="0" xfId="4" applyAlignment="1">
      <alignment horizontal="center"/>
    </xf>
  </cellXfs>
  <cellStyles count="7">
    <cellStyle name="Normal" xfId="0" builtinId="0"/>
    <cellStyle name="Normal 2" xfId="1" xr:uid="{00000000-0005-0000-0000-000001000000}"/>
    <cellStyle name="Normal 2 2" xfId="6" xr:uid="{3F19B18B-F17C-40B7-81D7-E07848D96110}"/>
    <cellStyle name="Normal 3" xfId="4" xr:uid="{9781B5E3-72CE-41EE-B715-3B5F1DD275CA}"/>
    <cellStyle name="Normal 4" xfId="5" xr:uid="{9700E1C2-90A8-4467-A7AF-9DD6E6C23E63}"/>
    <cellStyle name="Percent" xfId="2" builtinId="5"/>
    <cellStyle name="Standard_AMPERA_ESC Data" xfId="3" xr:uid="{00000000-0005-0000-0000-000003000000}"/>
  </cellStyles>
  <dxfs count="770">
    <dxf>
      <fill>
        <patternFill>
          <bgColor rgb="FFFF9700"/>
        </patternFill>
      </fill>
    </dxf>
    <dxf>
      <fill>
        <patternFill>
          <bgColor rgb="FFFF9700"/>
        </patternFill>
      </fill>
    </dxf>
    <dxf>
      <fill>
        <patternFill>
          <bgColor rgb="FFFF97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patternType="darkGrid">
          <bgColor rgb="FFFF000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theme="0" tint="-0.24994659260841701"/>
      </font>
      <fill>
        <patternFill>
          <bgColor theme="0" tint="-0.24994659260841701"/>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5" tint="-0.499984740745262"/>
      </font>
      <fill>
        <patternFill>
          <bgColor theme="5"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ont>
        <color rgb="FFFF0000"/>
      </font>
      <fill>
        <patternFill>
          <bgColor rgb="FFFF0000"/>
        </patternFill>
      </fill>
    </dxf>
    <dxf>
      <font>
        <color theme="9" tint="-0.499984740745262"/>
      </font>
      <fill>
        <patternFill>
          <bgColor theme="9" tint="-0.499984740745262"/>
        </patternFill>
      </fill>
    </dxf>
    <dxf>
      <font>
        <color rgb="FFFFC000"/>
      </font>
      <fill>
        <patternFill>
          <bgColor rgb="FFFFC000"/>
        </patternFill>
      </fill>
    </dxf>
    <dxf>
      <font>
        <color rgb="FFFFFF00"/>
      </font>
      <fill>
        <patternFill>
          <bgColor rgb="FFFFFF00"/>
        </patternFill>
      </fill>
    </dxf>
    <dxf>
      <font>
        <color rgb="FF00B050"/>
      </font>
      <fill>
        <patternFill>
          <bgColor rgb="FF00B050"/>
        </patternFill>
      </fill>
    </dxf>
    <dxf>
      <fill>
        <patternFill>
          <bgColor rgb="FF92D050"/>
        </patternFill>
      </fill>
    </dxf>
    <dxf>
      <fill>
        <patternFill>
          <bgColor rgb="FFFFFF00"/>
        </patternFill>
      </fill>
    </dxf>
    <dxf>
      <fill>
        <patternFill>
          <bgColor rgb="FFFFC000"/>
        </patternFill>
      </fill>
    </dxf>
    <dxf>
      <fill>
        <patternFill>
          <bgColor rgb="FFFF5B5B"/>
        </patternFill>
      </fill>
    </dxf>
    <dxf>
      <fill>
        <patternFill>
          <bgColor rgb="FF92D050"/>
        </patternFill>
      </fill>
    </dxf>
    <dxf>
      <fill>
        <patternFill>
          <bgColor rgb="FFFFFF00"/>
        </patternFill>
      </fill>
    </dxf>
    <dxf>
      <fill>
        <patternFill>
          <bgColor rgb="FFFFC000"/>
        </patternFill>
      </fill>
    </dxf>
    <dxf>
      <fill>
        <patternFill>
          <bgColor rgb="FFFF5B5B"/>
        </patternFill>
      </fill>
    </dxf>
  </dxfs>
  <tableStyles count="1" defaultTableStyle="TableStyleMedium9" defaultPivotStyle="PivotStyleLight16">
    <tableStyle name="Invisible" pivot="0" table="0" count="0" xr9:uid="{748CE05A-F3A1-4876-810C-7D59BCFB27D9}"/>
  </tableStyles>
  <colors>
    <mruColors>
      <color rgb="FFA4A8FE"/>
      <color rgb="FF7030A0"/>
      <color rgb="FF00B050"/>
      <color rgb="FF106A84"/>
      <color rgb="FF647C8D"/>
      <color rgb="FFFFEC00"/>
      <color rgb="FF3A9C32"/>
      <color rgb="FFD40022"/>
      <color rgb="FF753F2A"/>
      <color rgb="FFF497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3">
    <xsd:schema xmlns:xsd="http://www.w3.org/2001/XMLSchema" xmlns="">
      <xsd:element nillable="true" name="GeneralOverview">
        <xsd:complexType>
          <xsd:sequence minOccurs="0">
            <xsd:element minOccurs="0" nillable="true" name="General-Overview" form="unqualified">
              <xsd:complexType>
                <xsd:sequence minOccurs="0">
                  <xsd:element minOccurs="0" nillable="true" type="xsd:integer" name="YearOfTest" form="unqualified"/>
                  <xsd:element minOccurs="0" nillable="true" type="xsd:string" name="Make" form="unqualified"/>
                  <xsd:element minOccurs="0" nillable="true" type="xsd:string" name="Model" form="unqualified"/>
                  <xsd:element minOccurs="0" nillable="true" type="xsd:string" name="StartVIN" form="unqualified"/>
                  <xsd:element minOccurs="0" nillable="true" type="xsd:string" name="Engine" form="unqualified"/>
                  <xsd:element minOccurs="0" nillable="true" type="xsd:integer" name="KerbWeight" form="unqualified"/>
                  <xsd:element minOccurs="0" nillable="true" type="xsd:string" name="TrimLevel" form="unqualified"/>
                  <xsd:element minOccurs="0" nillable="true" type="xsd:string" name="SafetyPack" form="unqualified"/>
                  <xsd:element minOccurs="0" nillable="true" type="xsd:string" name="BodyType" form="unqualified"/>
                  <xsd:element minOccurs="0" nillable="true" type="xsd:string" name="FullDescription" form="unqualified"/>
                  <xsd:element minOccurs="0" nillable="true" type="xsd:string" name="ReleaseDate" form="unqualified"/>
                  <xsd:element minOccurs="0" nillable="true" type="xsd:string" name="HandOfDrive" form="unqualified"/>
                  <xsd:element minOccurs="0" nillable="true" type="xsd:integer" name="SeatsFrontRow" form="unqualified"/>
                  <xsd:element minOccurs="0" nillable="true" type="xsd:string" name="SeatsSecondRow" form="unqualified"/>
                  <xsd:element minOccurs="0" nillable="true" type="xsd:string" name="SeatsThirdRow" form="unqualified"/>
                  <xsd:element minOccurs="0" nillable="true" type="xsd:string" name="VehicleClass" form="unqualified"/>
                  <xsd:element minOccurs="0" nillable="true" type="xsd:string" name="AEBC2C" form="unqualified"/>
                  <xsd:element minOccurs="0" nillable="true" type="xsd:string" name="AEBPed" form="unqualified"/>
                  <xsd:element minOccurs="0" nillable="true" type="xsd:string" name="AEBCyc" form="unqualified"/>
                  <xsd:element minOccurs="0" nillable="true" type="xsd:string" name="LSS" form="unqualified"/>
                  <xsd:element minOccurs="0" nillable="true" type="xsd:string" name="SAS" form="unqualified"/>
                  <xsd:element minOccurs="0" nillable="true" type="xsd:string" name="OSM" form="unqualified"/>
                </xsd:sequence>
              </xsd:complexType>
            </xsd:element>
          </xsd:sequence>
        </xsd:complexType>
      </xsd:element>
    </xsd:schema>
  </Schema>
  <Schema ID="Schema4">
    <xsd:schema xmlns:xsd="http://www.w3.org/2001/XMLSchema" xmlns="">
      <xsd:element nillable="true" name="OverallRating">
        <xsd:complexType>
          <xsd:sequence minOccurs="0">
            <xsd:element minOccurs="0" nillable="true" name="OverallRating" form="unqualified">
              <xsd:complexType>
                <xsd:sequence minOccurs="0">
                  <xsd:element minOccurs="0" nillable="true" type="xsd:integer" name="AEBC2CFitment" form="unqualified"/>
                  <xsd:element minOccurs="0" nillable="true" type="xsd:integer" name="AEBPedFitment" form="unqualified"/>
                  <xsd:element minOccurs="0" nillable="true" type="xsd:integer" name="AEBCycFitment" form="unqualified"/>
                  <xsd:element minOccurs="0" nillable="true" type="xsd:integer" name="LSSFitment" form="unqualified"/>
                  <xsd:element minOccurs="0" nillable="true" type="xsd:integer" name="SASFitment" form="unqualified"/>
                  <xsd:element minOccurs="0" nillable="true" type="xsd:integer" name="OSMFitment" form="unqualified"/>
                  <xsd:element minOccurs="0" nillable="true" type="xsd:integer" name="TotalScoreFitment" form="unqualified"/>
                  <xsd:element minOccurs="0" nillable="true" type="xsd:integer" name="MaxPointsFitment" form="unqualified"/>
                  <xsd:element minOccurs="0" nillable="true" type="xsd:integer" name="NormalisedScoreFitment" form="unqualified"/>
                  <xsd:element minOccurs="0" nillable="true" type="xsd:integer" name="WeightFitment" form="unqualified"/>
                  <xsd:element minOccurs="0" nillable="true" type="xsd:integer" name="AEBC2CPerformance" form="unqualified"/>
                  <xsd:element minOccurs="0" nillable="true" type="xsd:integer" name="AEBPedPerformance" form="unqualified"/>
                  <xsd:element minOccurs="0" nillable="true" type="xsd:integer" name="AEBCycPerformance" form="unqualified"/>
                  <xsd:element minOccurs="0" nillable="true" type="xsd:integer" name="LSSPerformance" form="unqualified"/>
                  <xsd:element minOccurs="0" nillable="true" type="xsd:integer" name="SASPerformance" form="unqualified"/>
                  <xsd:element minOccurs="0" nillable="true" type="xsd:integer" name="OSMPerformance" form="unqualified"/>
                  <xsd:element minOccurs="0" nillable="true" type="xsd:integer" name="TotalScorePerformance" form="unqualified"/>
                  <xsd:element minOccurs="0" nillable="true" type="xsd:integer" name="MaxPointsPerformance" form="unqualified"/>
                  <xsd:element minOccurs="0" nillable="true" type="xsd:integer" name="NormalisedScorePerformance" form="unqualified"/>
                  <xsd:element minOccurs="0" nillable="true" type="xsd:integer" name="WeightPerformance" form="unqualified"/>
                </xsd:sequence>
              </xsd:complexType>
            </xsd:element>
          </xsd:sequence>
        </xsd:complexType>
      </xsd:element>
    </xsd:schema>
  </Schema>
  <Map ID="5" Name="GeneralOverview_Map" RootElement="GeneralOverview" SchemaID="Schema3" ShowImportExportValidationErrors="false" AutoFit="true" Append="false" PreserveSortAFLayout="true" PreserveFormat="true">
    <DataBinding FileBinding="true" ConnectionID="3" DataBindingLoadMode="1"/>
  </Map>
  <Map ID="6" Name="OverallRating_Map" RootElement="OverallRating" SchemaID="Schema4"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1.xml"/><Relationship Id="rId18" Type="http://schemas.openxmlformats.org/officeDocument/2006/relationships/sheetMetadata" Target="metadata.xml"/><Relationship Id="rId3" Type="http://schemas.openxmlformats.org/officeDocument/2006/relationships/worksheet" Target="worksheets/sheet3.xml"/><Relationship Id="rId21" Type="http://schemas.openxmlformats.org/officeDocument/2006/relationships/customXml" Target="../customXml/item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20"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connections" Target="connections.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 Id="rId22"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3.jpeg"/></Relationships>
</file>

<file path=xl/drawings/drawing1.xml><?xml version="1.0" encoding="utf-8"?>
<xdr:wsDr xmlns:xdr="http://schemas.openxmlformats.org/drawingml/2006/spreadsheetDrawing" xmlns:a="http://schemas.openxmlformats.org/drawingml/2006/main">
  <xdr:twoCellAnchor>
    <xdr:from>
      <xdr:col>5</xdr:col>
      <xdr:colOff>1001270</xdr:colOff>
      <xdr:row>3</xdr:row>
      <xdr:rowOff>100924</xdr:rowOff>
    </xdr:from>
    <xdr:to>
      <xdr:col>6</xdr:col>
      <xdr:colOff>627800</xdr:colOff>
      <xdr:row>3</xdr:row>
      <xdr:rowOff>795618</xdr:rowOff>
    </xdr:to>
    <xdr:grpSp>
      <xdr:nvGrpSpPr>
        <xdr:cNvPr id="2" name="Group 1">
          <a:extLst>
            <a:ext uri="{FF2B5EF4-FFF2-40B4-BE49-F238E27FC236}">
              <a16:creationId xmlns:a16="http://schemas.microsoft.com/office/drawing/2014/main" id="{5814C27A-527C-4EE8-905E-19C2F5554022}"/>
            </a:ext>
          </a:extLst>
        </xdr:cNvPr>
        <xdr:cNvGrpSpPr/>
      </xdr:nvGrpSpPr>
      <xdr:grpSpPr>
        <a:xfrm>
          <a:off x="6249545" y="862924"/>
          <a:ext cx="1331505" cy="694694"/>
          <a:chOff x="6731000" y="987777"/>
          <a:chExt cx="1226817" cy="568800"/>
        </a:xfrm>
      </xdr:grpSpPr>
      <xdr:pic>
        <xdr:nvPicPr>
          <xdr:cNvPr id="3" name="Picture 2">
            <a:extLst>
              <a:ext uri="{FF2B5EF4-FFF2-40B4-BE49-F238E27FC236}">
                <a16:creationId xmlns:a16="http://schemas.microsoft.com/office/drawing/2014/main" id="{26F14641-EDDA-4D09-B76F-2CDE40259BBB}"/>
              </a:ext>
            </a:extLst>
          </xdr:cNvPr>
          <xdr:cNvPicPr>
            <a:picLocks noChangeAspect="1"/>
          </xdr:cNvPicPr>
        </xdr:nvPicPr>
        <xdr:blipFill>
          <a:blip xmlns:r="http://schemas.openxmlformats.org/officeDocument/2006/relationships" r:embed="rId1"/>
          <a:stretch>
            <a:fillRect/>
          </a:stretch>
        </xdr:blipFill>
        <xdr:spPr>
          <a:xfrm>
            <a:off x="6731000" y="987777"/>
            <a:ext cx="567384" cy="568800"/>
          </a:xfrm>
          <a:prstGeom prst="rect">
            <a:avLst/>
          </a:prstGeom>
        </xdr:spPr>
      </xdr:pic>
      <xdr:sp macro="" textlink="$H$16">
        <xdr:nvSpPr>
          <xdr:cNvPr id="4" name="Rounded Rectangle 170">
            <a:extLst>
              <a:ext uri="{FF2B5EF4-FFF2-40B4-BE49-F238E27FC236}">
                <a16:creationId xmlns:a16="http://schemas.microsoft.com/office/drawing/2014/main" id="{C2E8E3C6-C2C3-4B5A-9BFB-B8878284B600}"/>
              </a:ext>
            </a:extLst>
          </xdr:cNvPr>
          <xdr:cNvSpPr>
            <a:spLocks/>
          </xdr:cNvSpPr>
        </xdr:nvSpPr>
        <xdr:spPr>
          <a:xfrm>
            <a:off x="7417817" y="996778"/>
            <a:ext cx="540000" cy="540000"/>
          </a:xfrm>
          <a:prstGeom prst="roundRect">
            <a:avLst>
              <a:gd name="adj" fmla="val 8010"/>
            </a:avLst>
          </a:prstGeom>
          <a:solidFill>
            <a:schemeClr val="bg1"/>
          </a:solidFill>
          <a:ln w="38100">
            <a:solidFill>
              <a:srgbClr val="126684"/>
            </a:solidFill>
          </a:ln>
        </xdr:spPr>
        <xdr:style>
          <a:lnRef idx="2">
            <a:schemeClr val="accent1">
              <a:shade val="50000"/>
            </a:schemeClr>
          </a:lnRef>
          <a:fillRef idx="1">
            <a:schemeClr val="accent1"/>
          </a:fillRef>
          <a:effectRef idx="0">
            <a:schemeClr val="accent1"/>
          </a:effectRef>
          <a:fontRef idx="minor">
            <a:schemeClr val="lt1"/>
          </a:fontRef>
        </xdr:style>
        <xdr:txBody>
          <a:bodyPr rot="0" spcFirstLastPara="0" vert="horz" wrap="square" lIns="91440" tIns="45720" rIns="91440" bIns="45720" numCol="1" spcCol="0" rtlCol="0" fromWordArt="0" anchor="ctr" anchorCtr="0" forceAA="0" compatLnSpc="1">
            <a:prstTxWarp prst="textNoShape">
              <a:avLst/>
            </a:prstTxWarp>
            <a:noAutofit/>
          </a:bodyPr>
          <a:lstStyle/>
          <a:p>
            <a:pPr algn="ctr"/>
            <a:fld id="{D230CA0E-2E87-408C-B43D-6B6593A89960}" type="TxLink">
              <a:rPr lang="en-US" sz="1400" b="1" i="0" u="none" strike="noStrike">
                <a:solidFill>
                  <a:sysClr val="windowText" lastClr="000000"/>
                </a:solidFill>
                <a:latin typeface="Calibri"/>
                <a:cs typeface="Calibri"/>
              </a:rPr>
              <a:pPr algn="ctr"/>
              <a:t>23%</a:t>
            </a:fld>
            <a:endParaRPr lang="en-US" sz="1400" b="1" i="0" u="none" strike="noStrike">
              <a:solidFill>
                <a:sysClr val="windowText" lastClr="000000"/>
              </a:solidFill>
              <a:latin typeface="Calibri"/>
              <a:cs typeface="Calibri"/>
            </a:endParaRPr>
          </a:p>
        </xdr:txBody>
      </xdr:sp>
    </xdr:grpSp>
    <xdr:clientData/>
  </xdr:twoCellAnchor>
  <xdr:twoCellAnchor editAs="oneCell">
    <xdr:from>
      <xdr:col>2</xdr:col>
      <xdr:colOff>1530798</xdr:colOff>
      <xdr:row>3</xdr:row>
      <xdr:rowOff>186971</xdr:rowOff>
    </xdr:from>
    <xdr:to>
      <xdr:col>3</xdr:col>
      <xdr:colOff>316876</xdr:colOff>
      <xdr:row>3</xdr:row>
      <xdr:rowOff>762971</xdr:rowOff>
    </xdr:to>
    <xdr:pic>
      <xdr:nvPicPr>
        <xdr:cNvPr id="5" name="Picture 4">
          <a:extLst>
            <a:ext uri="{FF2B5EF4-FFF2-40B4-BE49-F238E27FC236}">
              <a16:creationId xmlns:a16="http://schemas.microsoft.com/office/drawing/2014/main" id="{F9859BCF-A86A-4539-9B69-38FBBA2F610E}"/>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404048" y="942621"/>
          <a:ext cx="570428" cy="5760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euroncap-my.sharepoint.com/Users/RichardSchram/Euro%20NCAP/Releases%20-%20201216%20vans/Spreadsheets/20-CIT-9011-Citro&#235;n%20Jumper%20(Relay)%20Euro%20NCAP%20Spreadsheet%20CV%202020.1.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General Overview"/>
      <sheetName val="OVERALL RATING"/>
      <sheetName val="FITMENT"/>
      <sheetName val="AEB Car-to-Car"/>
      <sheetName val="AEB Pedestrian"/>
      <sheetName val="AEB Cyclist"/>
      <sheetName val="LSS"/>
      <sheetName val="SAS"/>
      <sheetName val="OSM"/>
      <sheetName val="Summary"/>
    </sheetNames>
    <sheetDataSet>
      <sheetData sheetId="0">
        <row r="2">
          <cell r="A2">
            <v>3</v>
          </cell>
        </row>
        <row r="3">
          <cell r="C3" t="str">
            <v>Citroën</v>
          </cell>
          <cell r="D3"/>
          <cell r="E3"/>
          <cell r="G3"/>
        </row>
        <row r="4">
          <cell r="C4" t="str">
            <v>Jumper (Relay)</v>
          </cell>
          <cell r="D4"/>
          <cell r="E4"/>
          <cell r="G4"/>
        </row>
        <row r="5">
          <cell r="C5" t="str">
            <v>Driver, 2.2L HDI</v>
          </cell>
          <cell r="D5"/>
          <cell r="E5"/>
          <cell r="G5"/>
        </row>
        <row r="6">
          <cell r="C6" t="str">
            <v>Monocoque</v>
          </cell>
          <cell r="D6"/>
          <cell r="E6"/>
          <cell r="G6"/>
        </row>
        <row r="7">
          <cell r="C7" t="str">
            <v>N1</v>
          </cell>
          <cell r="D7"/>
          <cell r="E7"/>
          <cell r="G7"/>
        </row>
        <row r="8">
          <cell r="C8" t="str">
            <v>VF7YCBNFB12M29787</v>
          </cell>
          <cell r="D8"/>
          <cell r="E8"/>
          <cell r="G8"/>
        </row>
        <row r="9">
          <cell r="C9">
            <v>2124</v>
          </cell>
          <cell r="D9"/>
          <cell r="E9"/>
          <cell r="G9"/>
        </row>
        <row r="10">
          <cell r="C10">
            <v>3500</v>
          </cell>
          <cell r="D10"/>
          <cell r="E10"/>
          <cell r="G10"/>
        </row>
        <row r="11">
          <cell r="C11">
            <v>1376</v>
          </cell>
          <cell r="D11"/>
          <cell r="E11"/>
          <cell r="G11"/>
        </row>
        <row r="12">
          <cell r="C12">
            <v>2812</v>
          </cell>
          <cell r="D12"/>
          <cell r="E12"/>
          <cell r="G12"/>
        </row>
        <row r="13">
          <cell r="C13" t="str">
            <v>Diesel 2.2L BlueHDI 140 S&amp;S (103KW)</v>
          </cell>
          <cell r="D13"/>
          <cell r="E13"/>
          <cell r="G13"/>
        </row>
        <row r="14">
          <cell r="C14" t="str">
            <v>Driver</v>
          </cell>
          <cell r="D14"/>
          <cell r="E14"/>
          <cell r="G14"/>
        </row>
        <row r="15">
          <cell r="C15" t="str">
            <v>Driver Trim (Driver Assist Pack &amp; Active Safety Brake)</v>
          </cell>
          <cell r="D15"/>
          <cell r="E15"/>
          <cell r="G15"/>
        </row>
        <row r="16">
          <cell r="C16" t="str">
            <v>Cargo Van</v>
          </cell>
          <cell r="D16"/>
          <cell r="E16"/>
          <cell r="G16"/>
        </row>
        <row r="17">
          <cell r="C17" t="str">
            <v>3rd generation facelift 2014 to present</v>
          </cell>
          <cell r="D17"/>
          <cell r="E17"/>
          <cell r="G17"/>
        </row>
        <row r="18">
          <cell r="C18" t="str">
            <v>RHD</v>
          </cell>
          <cell r="D18"/>
          <cell r="E18"/>
          <cell r="G18"/>
        </row>
        <row r="19">
          <cell r="C19"/>
          <cell r="D19"/>
          <cell r="E19"/>
        </row>
        <row r="20">
          <cell r="C20">
            <v>3</v>
          </cell>
          <cell r="D20"/>
          <cell r="E20" t="str">
            <v>300</v>
          </cell>
        </row>
        <row r="21">
          <cell r="C21" t="str">
            <v>0</v>
          </cell>
          <cell r="D21"/>
          <cell r="E21"/>
        </row>
        <row r="22">
          <cell r="C22" t="str">
            <v>0</v>
          </cell>
          <cell r="D22"/>
          <cell r="E22"/>
        </row>
        <row r="23">
          <cell r="C23"/>
          <cell r="D23"/>
          <cell r="E23"/>
        </row>
      </sheetData>
      <sheetData sheetId="1"/>
      <sheetData sheetId="2"/>
      <sheetData sheetId="3"/>
      <sheetData sheetId="4"/>
      <sheetData sheetId="5"/>
      <sheetData sheetId="6"/>
      <sheetData sheetId="7">
        <row r="6">
          <cell r="D6"/>
          <cell r="E6"/>
        </row>
        <row r="10">
          <cell r="D10" t="str">
            <v>Camera based</v>
          </cell>
          <cell r="E10"/>
        </row>
        <row r="31">
          <cell r="D31" t="str">
            <v>Manually set</v>
          </cell>
          <cell r="E31"/>
        </row>
        <row r="34">
          <cell r="D34">
            <v>43.88</v>
          </cell>
        </row>
        <row r="35">
          <cell r="D35">
            <v>6.1199999999999974</v>
          </cell>
        </row>
        <row r="37">
          <cell r="D37">
            <v>80.47</v>
          </cell>
        </row>
        <row r="38">
          <cell r="D38">
            <v>-0.46999999999999886</v>
          </cell>
        </row>
        <row r="40">
          <cell r="D40">
            <v>112.65</v>
          </cell>
        </row>
        <row r="41">
          <cell r="D41">
            <v>7.3499999999999943</v>
          </cell>
        </row>
      </sheetData>
      <sheetData sheetId="8">
        <row r="7">
          <cell r="D7" t="str">
            <v>PASS</v>
          </cell>
          <cell r="E7"/>
          <cell r="F7"/>
          <cell r="G7"/>
        </row>
        <row r="8">
          <cell r="D8" t="str">
            <v>PASS</v>
          </cell>
          <cell r="E8"/>
          <cell r="F8"/>
          <cell r="G8"/>
        </row>
      </sheetData>
      <sheetData sheetId="9"/>
    </sheetDataSet>
  </externalBook>
</externalLink>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 xr6:uid="{5B8314F2-4E90-4DF5-B5E3-DC4C45D01899}" r="G2" connectionId="3">
    <xmlCellPr id="1" xr6:uid="{8A0A6C2D-7451-488C-A132-EC203B1B4877}" uniqueName="YearOfTest">
      <xmlPr mapId="5" xpath="/GeneralOverview/General-Overview/YearOfTest" xmlDataType="integer"/>
    </xmlCellPr>
  </singleXmlCell>
  <singleXmlCell id="2" xr6:uid="{7E326071-5522-4F26-85D2-6EF89C71FF54}" r="C3" connectionId="3">
    <xmlCellPr id="1" xr6:uid="{2565C7BE-393C-42A5-9CB5-453CB761D74E}" uniqueName="Make">
      <xmlPr mapId="5" xpath="/GeneralOverview/General-Overview/Make" xmlDataType="string"/>
    </xmlCellPr>
  </singleXmlCell>
  <singleXmlCell id="3" xr6:uid="{F74728C4-56A5-4298-A21E-9F5342D27D4D}" r="C4" connectionId="3">
    <xmlCellPr id="1" xr6:uid="{93F86F21-4D4C-4F5D-9245-20A8BA4DA52D}" uniqueName="Model">
      <xmlPr mapId="5" xpath="/GeneralOverview/General-Overview/Model" xmlDataType="string"/>
    </xmlCellPr>
  </singleXmlCell>
  <singleXmlCell id="4" xr6:uid="{0F2EB801-10C8-4137-9FCD-47753C762D3D}" r="C8" connectionId="3">
    <xmlCellPr id="1" xr6:uid="{EE125D4A-2AD5-45FC-9DD3-FFE002EDC102}" uniqueName="StartVIN">
      <xmlPr mapId="5" xpath="/GeneralOverview/General-Overview/StartVIN" xmlDataType="string"/>
    </xmlCellPr>
  </singleXmlCell>
  <singleXmlCell id="5" xr6:uid="{DC75698D-BB5F-4BD7-92C5-C8320A4EF12B}" r="C13" connectionId="3">
    <xmlCellPr id="1" xr6:uid="{79581FDF-7B7E-43B7-A4F3-56D21BFD25B3}" uniqueName="Engine">
      <xmlPr mapId="5" xpath="/GeneralOverview/General-Overview/Engine" xmlDataType="string"/>
    </xmlCellPr>
  </singleXmlCell>
  <singleXmlCell id="6" xr6:uid="{C618892F-570F-4FD7-8467-CE3B6C41764E}" r="C9" connectionId="3">
    <xmlCellPr id="1" xr6:uid="{11F23B00-0006-4EA5-92EC-69F6046D9E6F}" uniqueName="KerbWeight">
      <xmlPr mapId="5" xpath="/GeneralOverview/General-Overview/KerbWeight" xmlDataType="integer"/>
    </xmlCellPr>
  </singleXmlCell>
  <singleXmlCell id="7" xr6:uid="{23305394-E9A0-4265-B707-FEF7E63363AC}" r="C14" connectionId="3">
    <xmlCellPr id="1" xr6:uid="{F5B493FA-13AD-4B00-86AE-B056FB10BF47}" uniqueName="TrimLevel">
      <xmlPr mapId="5" xpath="/GeneralOverview/General-Overview/TrimLevel" xmlDataType="string"/>
    </xmlCellPr>
  </singleXmlCell>
  <singleXmlCell id="8" xr6:uid="{AB1CB032-5452-49FE-A7F1-2D40F7646C1E}" r="C15" connectionId="3">
    <xmlCellPr id="1" xr6:uid="{BBCDCA98-54F1-440B-9878-34EA0D315540}" uniqueName="SafetyPack">
      <xmlPr mapId="5" xpath="/GeneralOverview/General-Overview/SafetyPack" xmlDataType="string"/>
    </xmlCellPr>
  </singleXmlCell>
  <singleXmlCell id="9" xr6:uid="{4C83AEEE-27D6-474D-95F9-229CB66F6482}" r="C16" connectionId="3">
    <xmlCellPr id="1" xr6:uid="{72CAB6DF-23CD-4DEF-ADE6-5C3D7E0AC2CF}" uniqueName="BodyType">
      <xmlPr mapId="5" xpath="/GeneralOverview/General-Overview/BodyType" xmlDataType="string"/>
    </xmlCellPr>
  </singleXmlCell>
  <singleXmlCell id="10" xr6:uid="{1245586C-0454-4681-A4DA-F2B5E83AB660}" r="C17" connectionId="3">
    <xmlCellPr id="1" xr6:uid="{BEBCFBB0-CFAC-474F-8624-08F89A9D112C}" uniqueName="FullDescription">
      <xmlPr mapId="5" xpath="/GeneralOverview/General-Overview/FullDescription" xmlDataType="string"/>
    </xmlCellPr>
  </singleXmlCell>
  <singleXmlCell id="12" xr6:uid="{986B1206-0497-4714-ADD0-4DC8D5B34677}" r="C18" connectionId="3">
    <xmlCellPr id="1" xr6:uid="{B0ECE4CF-BA1D-4895-A783-47B07A92CAC1}" uniqueName="HandOfDrive">
      <xmlPr mapId="5" xpath="/GeneralOverview/General-Overview/HandOfDrive" xmlDataType="string"/>
    </xmlCellPr>
  </singleXmlCell>
  <singleXmlCell id="13" xr6:uid="{47377D75-8570-4E3C-BAE3-A51A6A24D410}" r="C20" connectionId="3">
    <xmlCellPr id="1" xr6:uid="{80F20786-DF35-47C7-A05E-5780736D2EDC}" uniqueName="SeatsFrontRow">
      <xmlPr mapId="5" xpath="/GeneralOverview/General-Overview/SeatsFrontRow" xmlDataType="integer"/>
    </xmlCellPr>
  </singleXmlCell>
  <singleXmlCell id="14" xr6:uid="{CC25641E-1C1D-460D-B2F7-0E3C636BA621}" r="C21" connectionId="3">
    <xmlCellPr id="1" xr6:uid="{45D06246-A457-4D55-830B-1904363A4F0B}" uniqueName="SeatsSecondRow">
      <xmlPr mapId="5" xpath="/GeneralOverview/General-Overview/SeatsSecondRow" xmlDataType="string"/>
    </xmlCellPr>
  </singleXmlCell>
  <singleXmlCell id="15" xr6:uid="{2848E0DB-94CE-4FE3-B438-1C189B1A7366}" r="C22" connectionId="3">
    <xmlCellPr id="1" xr6:uid="{87DAC29B-7BBF-419B-B842-08D692382E5A}" uniqueName="SeatsThirdRow">
      <xmlPr mapId="5" xpath="/GeneralOverview/General-Overview/SeatsThirdRow" xmlDataType="string"/>
    </xmlCellPr>
  </singleXmlCell>
  <singleXmlCell id="16" xr6:uid="{FE7DC2C8-93DC-42FD-9FAB-4545037F9C21}" r="C25" connectionId="3">
    <xmlCellPr id="1" xr6:uid="{5476716B-198F-47B2-BDBD-401D5CCD79C0}" uniqueName="VehicleClass">
      <xmlPr mapId="5" xpath="/GeneralOverview/General-Overview/VehicleClass" xmlDataType="string"/>
    </xmlCellPr>
  </singleXmlCell>
  <singleXmlCell id="17" xr6:uid="{9022FF64-43D5-4EBB-AB07-DF13E367398C}" r="G3" connectionId="3">
    <xmlCellPr id="1" xr6:uid="{582FEA02-57C5-4D71-B9DC-85C139F40FF1}" uniqueName="AEBC2C">
      <xmlPr mapId="5" xpath="/GeneralOverview/General-Overview/AEBC2C" xmlDataType="string"/>
    </xmlCellPr>
  </singleXmlCell>
  <singleXmlCell id="18" xr6:uid="{7822E1CE-A7AD-4498-9D2A-704A8281B9F8}" r="G4" connectionId="3">
    <xmlCellPr id="1" xr6:uid="{EFE383F9-8960-444F-A1F8-09DD18A6C54E}" uniqueName="AEBPed">
      <xmlPr mapId="5" xpath="/GeneralOverview/General-Overview/AEBPed" xmlDataType="string"/>
    </xmlCellPr>
  </singleXmlCell>
  <singleXmlCell id="19" xr6:uid="{18C5ECEF-CDB6-404F-8809-E9D56F883ED9}" r="G6" connectionId="3">
    <xmlCellPr id="1" xr6:uid="{9B5FD1D6-B1F0-440B-BB71-ADE077F613BC}" uniqueName="AEBCyc">
      <xmlPr mapId="5" xpath="/GeneralOverview/General-Overview/AEBCyc" xmlDataType="string"/>
    </xmlCellPr>
  </singleXmlCell>
  <singleXmlCell id="20" xr6:uid="{479786CF-CBB4-4C8C-87DD-FB40C4614335}" r="G7" connectionId="3">
    <xmlCellPr id="1" xr6:uid="{7E556767-5F55-49D6-AC8D-9D9D67C5B520}" uniqueName="LSS">
      <xmlPr mapId="5" xpath="/GeneralOverview/General-Overview/LSS" xmlDataType="string"/>
    </xmlCellPr>
  </singleXmlCell>
  <singleXmlCell id="21" xr6:uid="{8E7E88B6-2664-4F8A-A935-740DBEA47EE0}" r="G10" connectionId="3">
    <xmlCellPr id="1" xr6:uid="{C3C3C928-1365-48B3-AD31-9E1D3AAAF316}" uniqueName="SAS">
      <xmlPr mapId="5" xpath="/GeneralOverview/General-Overview/SAS" xmlDataType="string"/>
    </xmlCellPr>
  </singleXmlCell>
  <singleXmlCell id="22" xr6:uid="{FD3EBA24-104F-4AD7-AD48-8CBC33CD3713}" r="G12" connectionId="3">
    <xmlCellPr id="1" xr6:uid="{5749FDCA-2459-481A-81E7-8CA31F0D8604}" uniqueName="OSM">
      <xmlPr mapId="5" xpath="/GeneralOverview/General-Overview/OSM"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CC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tableSingleCells" Target="../tables/tableSingleCells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dimension ref="A1:X26"/>
  <sheetViews>
    <sheetView showGridLines="0" zoomScale="90" zoomScaleNormal="90" workbookViewId="0">
      <selection activeCell="C19" sqref="C19:E19"/>
    </sheetView>
  </sheetViews>
  <sheetFormatPr defaultColWidth="9.140625" defaultRowHeight="12.75"/>
  <cols>
    <col min="1" max="1" width="9.140625" style="20" customWidth="1"/>
    <col min="2" max="2" width="24.140625" style="20" customWidth="1"/>
    <col min="3" max="4" width="9.140625" style="20"/>
    <col min="5" max="7" width="24.42578125" style="20" customWidth="1"/>
    <col min="8" max="8" width="24.5703125" style="20" hidden="1" customWidth="1"/>
    <col min="9" max="10" width="9.140625" style="20"/>
    <col min="11" max="11" width="15.85546875" style="20" customWidth="1"/>
    <col min="12" max="14" width="9.140625" style="20"/>
    <col min="15" max="17" width="8.5703125" customWidth="1"/>
    <col min="18" max="23" width="9.140625" style="20"/>
    <col min="24" max="24" width="0" style="20" hidden="1" customWidth="1"/>
    <col min="25" max="16384" width="9.140625" style="20"/>
  </cols>
  <sheetData>
    <row r="1" spans="1:24" ht="13.5" thickBot="1"/>
    <row r="2" spans="1:24" ht="23.25" customHeight="1" thickBot="1">
      <c r="A2" s="54">
        <v>3</v>
      </c>
      <c r="B2" s="399" t="s">
        <v>17</v>
      </c>
      <c r="C2" s="400"/>
      <c r="D2" s="400"/>
      <c r="E2" s="401"/>
      <c r="F2" s="74" t="s">
        <v>18</v>
      </c>
      <c r="G2" s="378">
        <v>2023</v>
      </c>
      <c r="X2" s="20" t="s">
        <v>41</v>
      </c>
    </row>
    <row r="3" spans="1:24" ht="13.5" customHeight="1">
      <c r="B3" s="56" t="s">
        <v>19</v>
      </c>
      <c r="C3" s="402" t="s">
        <v>777</v>
      </c>
      <c r="D3" s="402"/>
      <c r="E3" s="403"/>
      <c r="F3" s="24" t="s">
        <v>166</v>
      </c>
      <c r="G3" s="55"/>
      <c r="X3" s="20" t="s">
        <v>42</v>
      </c>
    </row>
    <row r="4" spans="1:24" ht="13.5" customHeight="1">
      <c r="B4" s="21" t="s">
        <v>49</v>
      </c>
      <c r="C4" s="395" t="s">
        <v>778</v>
      </c>
      <c r="D4" s="395"/>
      <c r="E4" s="396"/>
      <c r="F4" s="24" t="s">
        <v>79</v>
      </c>
      <c r="G4" s="55"/>
      <c r="X4" s="20" t="s">
        <v>43</v>
      </c>
    </row>
    <row r="5" spans="1:24" ht="13.5" customHeight="1">
      <c r="B5" s="21" t="s">
        <v>216</v>
      </c>
      <c r="C5" s="153" t="s">
        <v>779</v>
      </c>
      <c r="D5" s="153"/>
      <c r="E5" s="55"/>
      <c r="F5" s="24" t="s">
        <v>100</v>
      </c>
      <c r="G5" s="55"/>
    </row>
    <row r="6" spans="1:24" ht="13.5" customHeight="1">
      <c r="B6" s="21" t="s">
        <v>217</v>
      </c>
      <c r="C6" s="153" t="s">
        <v>212</v>
      </c>
      <c r="D6" s="153"/>
      <c r="E6" s="55"/>
      <c r="F6" s="24" t="s">
        <v>83</v>
      </c>
      <c r="G6" s="55"/>
    </row>
    <row r="7" spans="1:24" ht="13.5" customHeight="1">
      <c r="B7" s="21" t="s">
        <v>213</v>
      </c>
      <c r="C7" s="153" t="s">
        <v>780</v>
      </c>
      <c r="D7" s="153"/>
      <c r="E7" s="55"/>
      <c r="F7" s="24" t="s">
        <v>52</v>
      </c>
      <c r="G7" s="55"/>
      <c r="X7" s="20" t="s">
        <v>44</v>
      </c>
    </row>
    <row r="8" spans="1:24" ht="13.5" customHeight="1">
      <c r="B8" s="21" t="s">
        <v>214</v>
      </c>
      <c r="C8" s="395" t="s">
        <v>781</v>
      </c>
      <c r="D8" s="395"/>
      <c r="E8" s="396"/>
      <c r="F8" s="24" t="s">
        <v>176</v>
      </c>
      <c r="G8" s="55"/>
    </row>
    <row r="9" spans="1:24" ht="13.5" customHeight="1">
      <c r="B9" s="25" t="s">
        <v>21</v>
      </c>
      <c r="C9" s="404">
        <v>1860</v>
      </c>
      <c r="D9" s="404"/>
      <c r="E9" s="405"/>
      <c r="F9" s="24"/>
      <c r="G9" s="100"/>
    </row>
    <row r="10" spans="1:24" ht="13.5" customHeight="1">
      <c r="B10" s="25" t="s">
        <v>215</v>
      </c>
      <c r="C10" s="404">
        <v>3100</v>
      </c>
      <c r="D10" s="404"/>
      <c r="E10" s="405"/>
      <c r="F10" s="24"/>
      <c r="G10" s="100"/>
      <c r="X10" s="20" t="s">
        <v>45</v>
      </c>
    </row>
    <row r="11" spans="1:24" ht="13.5" customHeight="1">
      <c r="B11" s="25" t="s">
        <v>218</v>
      </c>
      <c r="C11" s="154">
        <f>C10-C9</f>
        <v>1240</v>
      </c>
      <c r="D11" s="154"/>
      <c r="E11" s="155"/>
      <c r="F11" s="24"/>
      <c r="G11" s="100"/>
    </row>
    <row r="12" spans="1:24" ht="13.5" customHeight="1">
      <c r="B12" s="25" t="s">
        <v>204</v>
      </c>
      <c r="C12" s="404">
        <v>2480</v>
      </c>
      <c r="D12" s="404"/>
      <c r="E12" s="405"/>
      <c r="F12" s="24"/>
      <c r="G12" s="100"/>
      <c r="X12" s="20" t="s">
        <v>46</v>
      </c>
    </row>
    <row r="13" spans="1:24" ht="13.5" customHeight="1">
      <c r="B13" s="21" t="s">
        <v>16</v>
      </c>
      <c r="C13" s="395" t="s">
        <v>782</v>
      </c>
      <c r="D13" s="395"/>
      <c r="E13" s="396"/>
      <c r="F13" s="24"/>
      <c r="G13" s="100"/>
    </row>
    <row r="14" spans="1:24" ht="13.5" customHeight="1">
      <c r="B14" s="21" t="s">
        <v>20</v>
      </c>
      <c r="C14" s="395"/>
      <c r="D14" s="395"/>
      <c r="E14" s="396"/>
      <c r="G14" s="100"/>
    </row>
    <row r="15" spans="1:24" ht="13.5" customHeight="1">
      <c r="B15" s="21" t="s">
        <v>78</v>
      </c>
      <c r="C15" s="395"/>
      <c r="D15" s="395"/>
      <c r="E15" s="396"/>
      <c r="G15" s="100"/>
    </row>
    <row r="16" spans="1:24" ht="13.5" customHeight="1">
      <c r="B16" s="21" t="s">
        <v>8</v>
      </c>
      <c r="C16" s="395" t="s">
        <v>783</v>
      </c>
      <c r="D16" s="395"/>
      <c r="E16" s="396"/>
      <c r="G16" s="100"/>
    </row>
    <row r="17" spans="2:12" ht="13.5" customHeight="1">
      <c r="B17" s="21" t="s">
        <v>219</v>
      </c>
      <c r="C17" s="395" t="s">
        <v>784</v>
      </c>
      <c r="D17" s="395"/>
      <c r="E17" s="396"/>
      <c r="G17" s="100"/>
      <c r="K17"/>
      <c r="L17"/>
    </row>
    <row r="18" spans="2:12" ht="13.5" customHeight="1">
      <c r="B18" s="21" t="s">
        <v>14</v>
      </c>
      <c r="C18" s="395" t="s">
        <v>785</v>
      </c>
      <c r="D18" s="395"/>
      <c r="E18" s="396"/>
      <c r="G18" s="100"/>
      <c r="J18" s="90"/>
      <c r="K18" s="91"/>
    </row>
    <row r="19" spans="2:12" ht="13.5" customHeight="1">
      <c r="B19" s="21" t="s">
        <v>48</v>
      </c>
      <c r="C19" s="406"/>
      <c r="D19" s="406"/>
      <c r="E19" s="407"/>
      <c r="F19" s="24"/>
      <c r="G19" s="101"/>
      <c r="J19" s="92"/>
      <c r="L19" s="89"/>
    </row>
    <row r="20" spans="2:12" ht="13.5" customHeight="1">
      <c r="B20" s="59" t="s">
        <v>75</v>
      </c>
      <c r="C20" s="398">
        <v>3</v>
      </c>
      <c r="D20" s="398"/>
      <c r="E20" s="99" t="str">
        <f>CONCATENATE(C20,C21,C22)</f>
        <v>3</v>
      </c>
      <c r="G20" s="101"/>
    </row>
    <row r="21" spans="2:12" ht="13.5" customHeight="1">
      <c r="B21" s="59" t="s">
        <v>76</v>
      </c>
      <c r="C21" s="397"/>
      <c r="D21" s="397"/>
      <c r="E21" s="44"/>
      <c r="G21" s="101"/>
    </row>
    <row r="22" spans="2:12" ht="13.5" customHeight="1">
      <c r="B22" s="59" t="s">
        <v>77</v>
      </c>
      <c r="C22" s="397"/>
      <c r="D22" s="397"/>
      <c r="E22" s="44"/>
      <c r="G22" s="101"/>
    </row>
    <row r="23" spans="2:12" ht="13.5" customHeight="1" thickBot="1">
      <c r="B23" s="59"/>
      <c r="C23" s="393"/>
      <c r="D23" s="393"/>
      <c r="E23" s="394"/>
      <c r="G23" s="101"/>
    </row>
    <row r="24" spans="2:12" ht="13.5" customHeight="1">
      <c r="B24" s="379" t="s">
        <v>735</v>
      </c>
      <c r="C24" s="236" t="s">
        <v>772</v>
      </c>
      <c r="D24" s="236"/>
      <c r="E24" s="44"/>
      <c r="G24" s="101"/>
    </row>
    <row r="25" spans="2:12" ht="13.5" thickBot="1">
      <c r="B25" s="22"/>
      <c r="C25" s="393"/>
      <c r="D25" s="393"/>
      <c r="E25" s="394"/>
      <c r="F25" s="98"/>
      <c r="G25" s="102"/>
    </row>
    <row r="26" spans="2:12" ht="18.75">
      <c r="C26" s="23"/>
      <c r="G26" s="24"/>
    </row>
  </sheetData>
  <mergeCells count="19">
    <mergeCell ref="C14:E14"/>
    <mergeCell ref="C16:E16"/>
    <mergeCell ref="C20:D20"/>
    <mergeCell ref="B2:E2"/>
    <mergeCell ref="C3:E3"/>
    <mergeCell ref="C4:E4"/>
    <mergeCell ref="C8:E8"/>
    <mergeCell ref="C9:E9"/>
    <mergeCell ref="C13:E13"/>
    <mergeCell ref="C18:E18"/>
    <mergeCell ref="C19:E19"/>
    <mergeCell ref="C10:E10"/>
    <mergeCell ref="C12:E12"/>
    <mergeCell ref="C25:E25"/>
    <mergeCell ref="C17:E17"/>
    <mergeCell ref="C21:D21"/>
    <mergeCell ref="C22:D22"/>
    <mergeCell ref="C15:E15"/>
    <mergeCell ref="C23:E23"/>
  </mergeCells>
  <phoneticPr fontId="0" type="noConversion"/>
  <dataValidations count="8">
    <dataValidation type="list" allowBlank="1" showInputMessage="1" showErrorMessage="1" sqref="C18" xr:uid="{AD46F9E3-DFBC-4DE5-BA2E-51ED8D5A791B}">
      <formula1>"LHD,RHD"</formula1>
    </dataValidation>
    <dataValidation type="whole" allowBlank="1" showInputMessage="1" showErrorMessage="1" errorTitle="Outside valid range" error="Value only (no 'kg') between 500 and 3500" promptTitle="Input Number Only" prompt="Do not put 'kg' after the number" sqref="C7 C9:C12" xr:uid="{A24B5036-2822-4D21-9BDA-7B037429A370}">
      <formula1>500</formula1>
      <formula2>3500</formula2>
    </dataValidation>
    <dataValidation type="list" allowBlank="1" showInputMessage="1" showErrorMessage="1" sqref="E24 E21:E22" xr:uid="{00000000-0002-0000-0000-000006000000}">
      <formula1>"standard,optional"</formula1>
    </dataValidation>
    <dataValidation type="list" allowBlank="1" showInputMessage="1" showErrorMessage="1" sqref="C20:D20" xr:uid="{07D8CE16-E01D-4FDD-8FDF-1719AEA1786D}">
      <formula1>"2,3"</formula1>
    </dataValidation>
    <dataValidation type="list" allowBlank="1" showInputMessage="1" showErrorMessage="1" sqref="D24 C22:D22" xr:uid="{00000000-0002-0000-0000-000008000000}">
      <formula1>"0,2,3"</formula1>
    </dataValidation>
    <dataValidation type="list" showInputMessage="1" showErrorMessage="1" sqref="C21:D21" xr:uid="{195F29FB-B65D-4142-8B66-1A573ACBACFE}">
      <formula1>"0,2,3"</formula1>
    </dataValidation>
    <dataValidation type="list" allowBlank="1" showInputMessage="1" showErrorMessage="1" sqref="C25 C23" xr:uid="{00000000-0002-0000-0000-000005000000}">
      <formula1>#REF!</formula1>
    </dataValidation>
    <dataValidation type="list" allowBlank="1" showInputMessage="1" showErrorMessage="1" sqref="C24" xr:uid="{BFCECA72-9A89-44B2-B9B8-51376684C042}">
      <formula1>"2020,2023"</formula1>
    </dataValidation>
  </dataValidations>
  <pageMargins left="0.7" right="0.7" top="0.75" bottom="0.75" header="0.3" footer="0.3"/>
  <pageSetup paperSize="9" orientation="portrait" horizontalDpi="4294967293"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2BEA49-192D-424F-B2F6-EAB9F6242065}">
  <sheetPr codeName="Sheet6"/>
  <dimension ref="A2:Q20"/>
  <sheetViews>
    <sheetView zoomScaleNormal="100" workbookViewId="0">
      <selection activeCell="G10" sqref="G10"/>
    </sheetView>
  </sheetViews>
  <sheetFormatPr defaultColWidth="9.140625" defaultRowHeight="12.75"/>
  <cols>
    <col min="1" max="1" width="8.85546875" style="122" customWidth="1"/>
    <col min="2" max="2" width="18" style="122" customWidth="1"/>
    <col min="3" max="3" width="25.5703125" style="122" customWidth="1"/>
    <col min="4" max="5" width="13.140625" style="122" customWidth="1"/>
    <col min="6" max="6" width="25.5703125" style="122" customWidth="1"/>
    <col min="7" max="8" width="13.140625" style="122" customWidth="1"/>
    <col min="9" max="9" width="13.85546875" style="122" customWidth="1"/>
    <col min="10" max="10" width="13.85546875" style="127" customWidth="1"/>
    <col min="11" max="16384" width="9.140625" style="122"/>
  </cols>
  <sheetData>
    <row r="2" spans="2:17" ht="32.25" customHeight="1">
      <c r="C2" s="412" t="str">
        <f>CONCATENATE('General Overview'!C3:E3," ",'General Overview'!C4)</f>
        <v>Toyota PROACE</v>
      </c>
      <c r="D2" s="412"/>
      <c r="E2" s="412"/>
      <c r="F2" s="156" t="str">
        <f>IF(F14&gt;=60,"GOLD",IF(F14&gt;=40,"SILVER",IF(F14&gt;=20,"BRONZE","NOT RECOMMENDED")))</f>
        <v>BRONZE</v>
      </c>
      <c r="G2" s="123"/>
      <c r="J2" s="122"/>
    </row>
    <row r="3" spans="2:17" ht="15" customHeight="1">
      <c r="C3" s="124"/>
      <c r="D3" s="124"/>
      <c r="E3" s="125"/>
      <c r="F3" s="125"/>
      <c r="G3" s="125"/>
      <c r="J3" s="122"/>
    </row>
    <row r="4" spans="2:17" ht="90" customHeight="1">
      <c r="B4" s="126"/>
      <c r="C4" s="413" t="s">
        <v>167</v>
      </c>
      <c r="D4" s="414"/>
      <c r="E4" s="415"/>
      <c r="F4" s="416" t="s">
        <v>168</v>
      </c>
      <c r="G4" s="414"/>
      <c r="H4" s="417"/>
      <c r="I4" s="127"/>
      <c r="K4" s="127"/>
      <c r="L4" s="127"/>
      <c r="M4" s="127"/>
      <c r="N4" s="127"/>
      <c r="O4" s="127"/>
      <c r="P4" s="127"/>
      <c r="Q4" s="127"/>
    </row>
    <row r="5" spans="2:17" ht="22.5" customHeight="1" thickBot="1">
      <c r="C5" s="418">
        <f>ROUND(C12,1)</f>
        <v>0</v>
      </c>
      <c r="D5" s="418"/>
      <c r="E5" s="418"/>
      <c r="F5" s="418">
        <f>ROUND(F12,1)</f>
        <v>23.3</v>
      </c>
      <c r="G5" s="418"/>
      <c r="H5" s="418"/>
      <c r="I5" s="127"/>
      <c r="K5" s="127"/>
      <c r="L5" s="127"/>
      <c r="M5" s="127"/>
      <c r="N5" s="127"/>
      <c r="O5" s="127"/>
    </row>
    <row r="6" spans="2:17" ht="22.5" customHeight="1">
      <c r="B6" s="128">
        <v>30</v>
      </c>
      <c r="C6" s="129" t="s">
        <v>166</v>
      </c>
      <c r="D6" s="130" t="s">
        <v>211</v>
      </c>
      <c r="E6" s="131" t="str">
        <f>'N1 Fitment'!N35</f>
        <v>Opt</v>
      </c>
      <c r="F6" s="129" t="s">
        <v>166</v>
      </c>
      <c r="G6" s="380">
        <f>'AEB Car-to-Car'!D112/6*B6</f>
        <v>13.715000000000002</v>
      </c>
      <c r="H6" s="132" t="str">
        <f t="shared" ref="H6:H11" si="0">CONCATENATE("out of ",B6)</f>
        <v>out of 30</v>
      </c>
      <c r="I6" s="261" t="str" cm="1">
        <f t="array" ref="I6">Colour_ADAS(G6/B6)</f>
        <v>Orange</v>
      </c>
      <c r="K6" s="127"/>
      <c r="L6" s="127"/>
      <c r="M6" s="127"/>
      <c r="N6" s="127"/>
      <c r="O6" s="127"/>
    </row>
    <row r="7" spans="2:17" ht="22.5" customHeight="1">
      <c r="B7" s="133">
        <v>10</v>
      </c>
      <c r="C7" s="134" t="s">
        <v>69</v>
      </c>
      <c r="D7" s="135" t="s">
        <v>211</v>
      </c>
      <c r="E7" s="136" t="str">
        <f>'N1 Fitment'!O35</f>
        <v>Opt</v>
      </c>
      <c r="F7" s="134" t="s">
        <v>69</v>
      </c>
      <c r="G7" s="381">
        <f>'AEB Pedestrian'!D126/9*B7</f>
        <v>0.44444444444444448</v>
      </c>
      <c r="H7" s="138" t="str">
        <f t="shared" si="0"/>
        <v>out of 10</v>
      </c>
      <c r="I7" s="261" t="str" cm="1">
        <f t="array" ref="I7">Colour_ADAS(G7/B7)</f>
        <v>Brown</v>
      </c>
      <c r="K7" s="127"/>
      <c r="L7" s="127"/>
      <c r="M7" s="127"/>
      <c r="N7" s="127"/>
      <c r="O7" s="127"/>
    </row>
    <row r="8" spans="2:17" ht="22.5" customHeight="1">
      <c r="B8" s="133">
        <v>10</v>
      </c>
      <c r="C8" s="134" t="s">
        <v>128</v>
      </c>
      <c r="D8" s="135" t="s">
        <v>211</v>
      </c>
      <c r="E8" s="136" t="str">
        <f>'N1 Fitment'!P35</f>
        <v>N/A</v>
      </c>
      <c r="F8" s="134" t="s">
        <v>128</v>
      </c>
      <c r="G8" s="381">
        <f>'AEB Cyclist'!D86/9*B8</f>
        <v>0</v>
      </c>
      <c r="H8" s="138" t="str">
        <f t="shared" si="0"/>
        <v>out of 10</v>
      </c>
      <c r="I8" s="261" t="str" cm="1">
        <f t="array" ref="I8">Colour_ADAS(G8/B8)</f>
        <v>Red</v>
      </c>
      <c r="K8" s="127"/>
      <c r="L8" s="127"/>
      <c r="M8" s="127"/>
      <c r="N8" s="127"/>
      <c r="O8" s="127"/>
    </row>
    <row r="9" spans="2:17" ht="22.5" customHeight="1">
      <c r="B9" s="133">
        <v>20</v>
      </c>
      <c r="C9" s="134" t="s">
        <v>82</v>
      </c>
      <c r="D9" s="135" t="s">
        <v>211</v>
      </c>
      <c r="E9" s="136" t="str">
        <f>'N1 Fitment'!AD35</f>
        <v>Opt</v>
      </c>
      <c r="F9" s="134" t="s">
        <v>82</v>
      </c>
      <c r="G9" s="137">
        <f>LSS!D72/4*B9</f>
        <v>2.5</v>
      </c>
      <c r="H9" s="138" t="str">
        <f t="shared" si="0"/>
        <v>out of 20</v>
      </c>
      <c r="I9" s="261" t="str" cm="1">
        <f t="array" ref="I9">Colour_ADAS(G9/B9)</f>
        <v>Brown</v>
      </c>
      <c r="J9" s="122"/>
    </row>
    <row r="10" spans="2:17" ht="22.5" customHeight="1">
      <c r="B10" s="133">
        <v>15</v>
      </c>
      <c r="C10" s="134" t="s">
        <v>1</v>
      </c>
      <c r="D10" s="135" t="s">
        <v>211</v>
      </c>
      <c r="E10" s="136" t="str">
        <f>'N1 Fitment'!AF35</f>
        <v>Std</v>
      </c>
      <c r="F10" s="134" t="s">
        <v>1</v>
      </c>
      <c r="G10" s="381">
        <f>IF('General Overview'!C24="2020",'SAS 2020'!D49/3*B10,'SAS 2023'!D72/3*B10)</f>
        <v>6.625</v>
      </c>
      <c r="H10" s="138" t="str">
        <f t="shared" si="0"/>
        <v>out of 15</v>
      </c>
      <c r="I10" s="261" t="str" cm="1">
        <f t="array" ref="I10">Colour_ADAS(G10/B10)</f>
        <v>Orange</v>
      </c>
      <c r="J10" s="122"/>
    </row>
    <row r="11" spans="2:17" ht="22.5" customHeight="1" thickBot="1">
      <c r="B11" s="139">
        <v>15</v>
      </c>
      <c r="C11" s="140" t="s">
        <v>169</v>
      </c>
      <c r="D11" s="141" t="s">
        <v>211</v>
      </c>
      <c r="E11" s="142" t="str">
        <f>'N1 Fitment'!AE35</f>
        <v>Std</v>
      </c>
      <c r="F11" s="140" t="s">
        <v>169</v>
      </c>
      <c r="G11" s="166">
        <f>OSM!D20/3*B11</f>
        <v>0</v>
      </c>
      <c r="H11" s="143" t="str">
        <f t="shared" si="0"/>
        <v>out of 15</v>
      </c>
      <c r="I11" s="261" t="str" cm="1">
        <f t="array" ref="I11">Colour_ADAS(G11/B11)</f>
        <v>Red</v>
      </c>
      <c r="J11" s="262"/>
      <c r="K11" s="262"/>
    </row>
    <row r="12" spans="2:17" ht="22.5" customHeight="1" thickBot="1">
      <c r="B12" s="144" t="s">
        <v>3</v>
      </c>
      <c r="C12" s="408"/>
      <c r="D12" s="409"/>
      <c r="E12" s="410"/>
      <c r="F12" s="408">
        <f>SUM(G6:G11)</f>
        <v>23.284444444444446</v>
      </c>
      <c r="G12" s="409"/>
      <c r="H12" s="411"/>
      <c r="J12" s="122"/>
    </row>
    <row r="13" spans="2:17" ht="22.5" customHeight="1">
      <c r="B13" s="145" t="s">
        <v>0</v>
      </c>
      <c r="C13" s="425"/>
      <c r="D13" s="426"/>
      <c r="E13" s="427"/>
      <c r="F13" s="428">
        <v>100</v>
      </c>
      <c r="G13" s="425"/>
      <c r="H13" s="429"/>
      <c r="J13" s="122"/>
    </row>
    <row r="14" spans="2:17" ht="22.5" customHeight="1">
      <c r="B14" s="146" t="s">
        <v>2</v>
      </c>
      <c r="C14" s="430"/>
      <c r="D14" s="430"/>
      <c r="E14" s="431"/>
      <c r="F14" s="430">
        <f>INT(F12/F13*100)</f>
        <v>23</v>
      </c>
      <c r="G14" s="430"/>
      <c r="H14" s="432"/>
      <c r="J14" s="122"/>
    </row>
    <row r="15" spans="2:17" ht="22.5" customHeight="1" thickBot="1">
      <c r="B15" s="147" t="s">
        <v>4</v>
      </c>
      <c r="C15" s="433"/>
      <c r="D15" s="434"/>
      <c r="E15" s="435"/>
      <c r="F15" s="433">
        <v>0.5</v>
      </c>
      <c r="G15" s="434"/>
      <c r="H15" s="436"/>
      <c r="J15" s="122"/>
    </row>
    <row r="16" spans="2:17" ht="22.5" customHeight="1" thickBot="1">
      <c r="B16" s="148"/>
      <c r="C16" s="149"/>
      <c r="D16" s="149"/>
      <c r="E16" s="150">
        <f>C14/100</f>
        <v>0</v>
      </c>
      <c r="F16" s="149"/>
      <c r="G16" s="149"/>
      <c r="H16" s="150">
        <f>F14/100</f>
        <v>0.23</v>
      </c>
      <c r="J16" s="122"/>
    </row>
    <row r="17" spans="1:8" ht="22.5" customHeight="1" thickBot="1">
      <c r="B17" s="419" t="s">
        <v>51</v>
      </c>
      <c r="C17" s="420"/>
      <c r="D17" s="420"/>
      <c r="E17" s="420"/>
      <c r="F17" s="420"/>
      <c r="G17" s="420"/>
      <c r="H17" s="421"/>
    </row>
    <row r="18" spans="1:8" ht="113.45" customHeight="1" thickBot="1">
      <c r="A18" s="151" t="s">
        <v>220</v>
      </c>
      <c r="B18" s="422" t="s">
        <v>823</v>
      </c>
      <c r="C18" s="423"/>
      <c r="D18" s="423"/>
      <c r="E18" s="423"/>
      <c r="F18" s="423"/>
      <c r="G18" s="423"/>
      <c r="H18" s="424"/>
    </row>
    <row r="19" spans="1:8" ht="287.25" customHeight="1" thickBot="1">
      <c r="A19" s="152" t="s">
        <v>221</v>
      </c>
      <c r="B19" s="422" t="s">
        <v>824</v>
      </c>
      <c r="C19" s="423"/>
      <c r="D19" s="423"/>
      <c r="E19" s="423"/>
      <c r="F19" s="423"/>
      <c r="G19" s="423"/>
      <c r="H19" s="424"/>
    </row>
    <row r="20" spans="1:8" ht="99.6" customHeight="1" thickBot="1">
      <c r="A20" s="152"/>
      <c r="B20" s="422"/>
      <c r="C20" s="423"/>
      <c r="D20" s="423"/>
      <c r="E20" s="423"/>
      <c r="F20" s="423"/>
      <c r="G20" s="423"/>
      <c r="H20" s="424"/>
    </row>
  </sheetData>
  <mergeCells count="17">
    <mergeCell ref="B17:H17"/>
    <mergeCell ref="B18:H18"/>
    <mergeCell ref="B19:H19"/>
    <mergeCell ref="B20:H20"/>
    <mergeCell ref="C13:E13"/>
    <mergeCell ref="F13:H13"/>
    <mergeCell ref="C14:E14"/>
    <mergeCell ref="F14:H14"/>
    <mergeCell ref="C15:E15"/>
    <mergeCell ref="F15:H15"/>
    <mergeCell ref="C12:E12"/>
    <mergeCell ref="F12:H12"/>
    <mergeCell ref="C2:E2"/>
    <mergeCell ref="C4:E4"/>
    <mergeCell ref="F4:H4"/>
    <mergeCell ref="C5:E5"/>
    <mergeCell ref="F5:H5"/>
  </mergeCells>
  <pageMargins left="0.74803149606299213" right="0.74803149606299213" top="1.9685039370078741" bottom="0.98425196850393704" header="0.51181102362204722" footer="0.51181102362204722"/>
  <pageSetup paperSize="9" scale="50" fitToWidth="0" orientation="portrait" r:id="rId1"/>
  <headerFooter alignWithMargins="0">
    <oddHeader>&amp;C&amp;G</oddHeader>
  </headerFooter>
  <ignoredErrors>
    <ignoredError sqref="E6:E11 G6:H11" unlockedFormula="1"/>
  </ignoredErrors>
  <drawing r:id="rId2"/>
  <legacyDrawingHF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F9C94-C06A-4B42-BA06-ADD8A62C04AA}">
  <sheetPr codeName="Sheet9">
    <tabColor rgb="FF106A84"/>
  </sheetPr>
  <dimension ref="A1:G47"/>
  <sheetViews>
    <sheetView showGridLines="0" topLeftCell="A23" zoomScale="90" zoomScaleNormal="90" workbookViewId="0">
      <selection activeCell="G47" sqref="G47"/>
    </sheetView>
  </sheetViews>
  <sheetFormatPr defaultColWidth="8.85546875" defaultRowHeight="12.75"/>
  <cols>
    <col min="1" max="2" width="8.85546875" style="1"/>
    <col min="3" max="3" width="42.42578125" style="1" customWidth="1"/>
    <col min="4" max="4" width="25.5703125" style="1" customWidth="1"/>
    <col min="5" max="5" width="25.5703125" style="45" customWidth="1"/>
    <col min="6" max="7" width="25.5703125" style="1" customWidth="1"/>
    <col min="8" max="16384" width="8.85546875" style="1"/>
  </cols>
  <sheetData>
    <row r="1" spans="1:7" ht="13.5" thickBot="1"/>
    <row r="2" spans="1:7" s="3" customFormat="1" ht="12.75" customHeight="1">
      <c r="B2" s="446" t="s">
        <v>201</v>
      </c>
      <c r="C2" s="447"/>
      <c r="D2" s="437"/>
      <c r="E2" s="438"/>
      <c r="F2" s="439"/>
    </row>
    <row r="3" spans="1:7" s="3" customFormat="1" ht="15" customHeight="1">
      <c r="B3" s="448"/>
      <c r="C3" s="449"/>
      <c r="D3" s="440"/>
      <c r="E3" s="441"/>
      <c r="F3" s="442"/>
    </row>
    <row r="4" spans="1:7" ht="15" customHeight="1" thickBot="1">
      <c r="B4" s="450"/>
      <c r="C4" s="451"/>
      <c r="D4" s="443"/>
      <c r="E4" s="444"/>
      <c r="F4" s="445"/>
    </row>
    <row r="5" spans="1:7" s="2" customFormat="1" ht="15" customHeight="1" thickBot="1">
      <c r="A5" s="1"/>
      <c r="B5" s="9" t="s">
        <v>177</v>
      </c>
      <c r="C5" s="19"/>
      <c r="D5" s="116" t="s">
        <v>163</v>
      </c>
      <c r="E5" s="117" t="s">
        <v>178</v>
      </c>
      <c r="F5" s="118" t="s">
        <v>179</v>
      </c>
      <c r="G5" s="119" t="s">
        <v>22</v>
      </c>
    </row>
    <row r="6" spans="1:7" s="2" customFormat="1" ht="15" customHeight="1">
      <c r="A6" s="1"/>
      <c r="B6" s="5"/>
      <c r="C6" s="52" t="s">
        <v>181</v>
      </c>
      <c r="D6" s="103"/>
      <c r="E6" s="104"/>
      <c r="F6" s="107"/>
      <c r="G6" s="120" t="str">
        <f>IF(COUNTIF(D6:F6,"Standard")&gt;0,"Standard",IF(COUNTIF(D6:F6,"Optional")&gt;0,"Optional","N/A"))</f>
        <v>N/A</v>
      </c>
    </row>
    <row r="7" spans="1:7" s="2" customFormat="1" ht="15" customHeight="1">
      <c r="A7" s="1"/>
      <c r="B7" s="5"/>
      <c r="C7" s="52" t="s">
        <v>180</v>
      </c>
      <c r="D7" s="103"/>
      <c r="E7" s="104"/>
      <c r="F7" s="107"/>
      <c r="G7" s="120" t="str">
        <f t="shared" ref="G7:G13" si="0">IF(COUNTIF(D7:F7,"Standard")&gt;0,"Standard",IF(COUNTIF(D7:F7,"Optional")&gt;0,"Optional","N/A"))</f>
        <v>N/A</v>
      </c>
    </row>
    <row r="8" spans="1:7" s="2" customFormat="1" ht="15" customHeight="1">
      <c r="A8" s="1"/>
      <c r="B8" s="5"/>
      <c r="C8" s="52" t="s">
        <v>182</v>
      </c>
      <c r="D8" s="103"/>
      <c r="E8" s="104"/>
      <c r="F8" s="107"/>
      <c r="G8" s="120" t="str">
        <f t="shared" si="0"/>
        <v>N/A</v>
      </c>
    </row>
    <row r="9" spans="1:7" s="2" customFormat="1" ht="15" customHeight="1">
      <c r="A9" s="1"/>
      <c r="B9" s="5"/>
      <c r="C9" s="52" t="s">
        <v>186</v>
      </c>
      <c r="D9" s="103"/>
      <c r="E9" s="104"/>
      <c r="F9" s="107"/>
      <c r="G9" s="120" t="str">
        <f t="shared" si="0"/>
        <v>N/A</v>
      </c>
    </row>
    <row r="10" spans="1:7" s="2" customFormat="1" ht="15" customHeight="1">
      <c r="A10" s="1"/>
      <c r="B10" s="5"/>
      <c r="C10" s="52" t="s">
        <v>183</v>
      </c>
      <c r="D10" s="103"/>
      <c r="E10" s="104"/>
      <c r="F10" s="107"/>
      <c r="G10" s="120" t="str">
        <f t="shared" si="0"/>
        <v>N/A</v>
      </c>
    </row>
    <row r="11" spans="1:7" s="2" customFormat="1" ht="15" customHeight="1">
      <c r="A11" s="1"/>
      <c r="B11" s="5"/>
      <c r="C11" s="52" t="s">
        <v>185</v>
      </c>
      <c r="D11" s="103"/>
      <c r="E11" s="104"/>
      <c r="F11" s="107"/>
      <c r="G11" s="120" t="str">
        <f t="shared" si="0"/>
        <v>N/A</v>
      </c>
    </row>
    <row r="12" spans="1:7" s="2" customFormat="1" ht="15" customHeight="1">
      <c r="A12" s="1"/>
      <c r="B12" s="5"/>
      <c r="C12" s="52" t="s">
        <v>187</v>
      </c>
      <c r="D12" s="103"/>
      <c r="E12" s="104"/>
      <c r="F12" s="107"/>
      <c r="G12" s="120" t="str">
        <f t="shared" si="0"/>
        <v>N/A</v>
      </c>
    </row>
    <row r="13" spans="1:7" s="2" customFormat="1" ht="15" customHeight="1" thickBot="1">
      <c r="A13" s="1"/>
      <c r="B13" s="5"/>
      <c r="C13" s="52" t="s">
        <v>184</v>
      </c>
      <c r="D13" s="105"/>
      <c r="E13" s="104"/>
      <c r="F13" s="107"/>
      <c r="G13" s="120" t="str">
        <f t="shared" si="0"/>
        <v>N/A</v>
      </c>
    </row>
    <row r="14" spans="1:7" s="2" customFormat="1" ht="15" customHeight="1" thickBot="1">
      <c r="A14" s="1"/>
      <c r="B14" s="452" t="s">
        <v>188</v>
      </c>
      <c r="C14" s="453"/>
      <c r="D14" s="112" t="str">
        <f>IF(COUNTIF(D6:D13,"Standard")&gt;0,"Standard",IF(COUNTIF(D6:D13,"Optional")&gt;0,"Optional","N/A"))</f>
        <v>N/A</v>
      </c>
      <c r="E14" s="113" t="str">
        <f>IF(COUNTIF(E6:E13,"Standard")&gt;0,"Standard",IF(COUNTIF(E6:E13,"Optional")&gt;0,"Optional","N/A"))</f>
        <v>N/A</v>
      </c>
      <c r="F14" s="114" t="str">
        <f>IF(COUNTIF(F6:F13,"Standard")&gt;0,"Standard",IF(COUNTIF(F6:F13,"Optional")&gt;0,"Optional","N/A"))</f>
        <v>N/A</v>
      </c>
      <c r="G14" s="121" t="str">
        <f>IF(COUNTIF(G6:G13,"Standard")&gt;0,"Standard",IF(COUNTIF(G6:G13,"Optional")&gt;0,"Optional","N/A"))</f>
        <v>N/A</v>
      </c>
    </row>
    <row r="15" spans="1:7" s="2" customFormat="1" ht="15" customHeight="1" thickBot="1">
      <c r="A15" s="1"/>
      <c r="B15" s="1"/>
      <c r="C15" s="3"/>
      <c r="D15" s="1"/>
      <c r="E15" s="45"/>
      <c r="F15" s="1"/>
    </row>
    <row r="16" spans="1:7" s="2" customFormat="1" ht="15" customHeight="1" thickBot="1">
      <c r="A16" s="1"/>
      <c r="B16" s="9" t="s">
        <v>189</v>
      </c>
      <c r="C16" s="19"/>
      <c r="D16" s="116" t="s">
        <v>202</v>
      </c>
      <c r="E16" s="117" t="s">
        <v>190</v>
      </c>
      <c r="F16" s="118" t="s">
        <v>191</v>
      </c>
      <c r="G16" s="119" t="s">
        <v>82</v>
      </c>
    </row>
    <row r="17" spans="1:7" s="2" customFormat="1" ht="15" customHeight="1">
      <c r="A17" s="1"/>
      <c r="B17" s="5"/>
      <c r="C17" s="52" t="s">
        <v>181</v>
      </c>
      <c r="D17" s="103"/>
      <c r="E17" s="104"/>
      <c r="F17" s="107"/>
      <c r="G17" s="120" t="str">
        <f>IF(COUNTIF(D17:F17,"Standard")&gt;0,"Standard",IF(COUNTIF(D17:F17,"Optional")&gt;0,"Optional","N/A"))</f>
        <v>N/A</v>
      </c>
    </row>
    <row r="18" spans="1:7" s="2" customFormat="1" ht="15" customHeight="1">
      <c r="A18" s="1"/>
      <c r="B18" s="5"/>
      <c r="C18" s="52" t="s">
        <v>180</v>
      </c>
      <c r="D18" s="103"/>
      <c r="E18" s="104"/>
      <c r="F18" s="107"/>
      <c r="G18" s="120" t="str">
        <f t="shared" ref="G18:G24" si="1">IF(COUNTIF(D18:F18,"Standard")&gt;0,"Standard",IF(COUNTIF(D18:F18,"Optional")&gt;0,"Optional","N/A"))</f>
        <v>N/A</v>
      </c>
    </row>
    <row r="19" spans="1:7" s="2" customFormat="1" ht="15" customHeight="1">
      <c r="A19" s="1"/>
      <c r="B19" s="5"/>
      <c r="C19" s="52" t="s">
        <v>182</v>
      </c>
      <c r="D19" s="103"/>
      <c r="E19" s="104"/>
      <c r="F19" s="107"/>
      <c r="G19" s="120" t="str">
        <f t="shared" si="1"/>
        <v>N/A</v>
      </c>
    </row>
    <row r="20" spans="1:7" s="2" customFormat="1" ht="15" customHeight="1">
      <c r="A20" s="1"/>
      <c r="B20" s="5"/>
      <c r="C20" s="52" t="s">
        <v>186</v>
      </c>
      <c r="D20" s="103"/>
      <c r="E20" s="104"/>
      <c r="F20" s="107"/>
      <c r="G20" s="120" t="str">
        <f t="shared" si="1"/>
        <v>N/A</v>
      </c>
    </row>
    <row r="21" spans="1:7" s="2" customFormat="1" ht="15" customHeight="1">
      <c r="A21" s="1"/>
      <c r="B21" s="5"/>
      <c r="C21" s="52" t="s">
        <v>183</v>
      </c>
      <c r="D21" s="103"/>
      <c r="E21" s="104"/>
      <c r="F21" s="107"/>
      <c r="G21" s="120" t="str">
        <f t="shared" si="1"/>
        <v>N/A</v>
      </c>
    </row>
    <row r="22" spans="1:7" s="2" customFormat="1" ht="15" customHeight="1">
      <c r="A22" s="1"/>
      <c r="B22" s="5"/>
      <c r="C22" s="52" t="s">
        <v>185</v>
      </c>
      <c r="D22" s="103"/>
      <c r="E22" s="104"/>
      <c r="F22" s="107"/>
      <c r="G22" s="120" t="str">
        <f t="shared" si="1"/>
        <v>N/A</v>
      </c>
    </row>
    <row r="23" spans="1:7" s="2" customFormat="1" ht="15" customHeight="1">
      <c r="A23" s="1"/>
      <c r="B23" s="5"/>
      <c r="C23" s="52" t="s">
        <v>187</v>
      </c>
      <c r="D23" s="103"/>
      <c r="E23" s="104"/>
      <c r="F23" s="107"/>
      <c r="G23" s="120" t="str">
        <f t="shared" si="1"/>
        <v>N/A</v>
      </c>
    </row>
    <row r="24" spans="1:7" s="2" customFormat="1" ht="15" customHeight="1" thickBot="1">
      <c r="A24" s="1"/>
      <c r="B24" s="5"/>
      <c r="C24" s="52" t="s">
        <v>184</v>
      </c>
      <c r="D24" s="105"/>
      <c r="E24" s="106"/>
      <c r="F24" s="108"/>
      <c r="G24" s="120" t="str">
        <f t="shared" si="1"/>
        <v>N/A</v>
      </c>
    </row>
    <row r="25" spans="1:7" s="2" customFormat="1" ht="15" customHeight="1" thickBot="1">
      <c r="A25" s="1"/>
      <c r="B25" s="452" t="s">
        <v>198</v>
      </c>
      <c r="C25" s="453"/>
      <c r="D25" s="112" t="str">
        <f>IF(COUNTIF(D17:D24,"Standard")&gt;0,"Standard",IF(COUNTIF(D17:D24,"Optional")&gt;0,"Optional","N/A"))</f>
        <v>N/A</v>
      </c>
      <c r="E25" s="113" t="str">
        <f>IF(COUNTIF(E17:E24,"Standard")&gt;0,"Standard",IF(COUNTIF(E17:E24,"Optional")&gt;0,"Optional","N/A"))</f>
        <v>N/A</v>
      </c>
      <c r="F25" s="114" t="str">
        <f>IF(COUNTIF(F17:F24,"Standard")&gt;0,"Standard",IF(COUNTIF(F17:F24,"Optional")&gt;0,"Optional","N/A"))</f>
        <v>N/A</v>
      </c>
      <c r="G25" s="121" t="str">
        <f>IF(COUNTIF(G17:G24,"Standard")&gt;0,"Standard",IF(COUNTIF(G17:G24,"Optional")&gt;0,"Optional","N/A"))</f>
        <v>N/A</v>
      </c>
    </row>
    <row r="26" spans="1:7" s="2" customFormat="1" ht="15" customHeight="1" thickBot="1">
      <c r="A26" s="1"/>
      <c r="B26" s="1"/>
      <c r="C26" s="3"/>
      <c r="D26" s="1"/>
      <c r="E26" s="45"/>
      <c r="F26" s="1"/>
    </row>
    <row r="27" spans="1:7" s="2" customFormat="1" ht="15" customHeight="1" thickBot="1">
      <c r="A27" s="1"/>
      <c r="B27" s="9" t="s">
        <v>192</v>
      </c>
      <c r="C27" s="19"/>
      <c r="D27" s="116" t="s">
        <v>193</v>
      </c>
      <c r="E27" s="117" t="s">
        <v>194</v>
      </c>
      <c r="F27" s="118"/>
      <c r="G27" s="119" t="s">
        <v>1</v>
      </c>
    </row>
    <row r="28" spans="1:7" s="2" customFormat="1" ht="15" customHeight="1">
      <c r="A28" s="1"/>
      <c r="B28" s="5"/>
      <c r="C28" s="52" t="s">
        <v>181</v>
      </c>
      <c r="D28" s="103"/>
      <c r="E28" s="104"/>
      <c r="F28" s="109"/>
      <c r="G28" s="120" t="str">
        <f>IF(COUNTIF(D28:F28,"Standard")&gt;0,"Standard",IF(COUNTIF(D28:F28,"Optional")&gt;0,"Optional","N/A"))</f>
        <v>N/A</v>
      </c>
    </row>
    <row r="29" spans="1:7" s="2" customFormat="1" ht="15" customHeight="1">
      <c r="A29" s="1"/>
      <c r="B29" s="5"/>
      <c r="C29" s="52" t="s">
        <v>180</v>
      </c>
      <c r="D29" s="103"/>
      <c r="E29" s="104"/>
      <c r="F29" s="109"/>
      <c r="G29" s="120" t="str">
        <f t="shared" ref="G29:G35" si="2">IF(COUNTIF(D29:F29,"Standard")&gt;0,"Standard",IF(COUNTIF(D29:F29,"Optional")&gt;0,"Optional","N/A"))</f>
        <v>N/A</v>
      </c>
    </row>
    <row r="30" spans="1:7" s="2" customFormat="1" ht="15" customHeight="1">
      <c r="A30" s="1"/>
      <c r="B30" s="5"/>
      <c r="C30" s="52" t="s">
        <v>182</v>
      </c>
      <c r="D30" s="103"/>
      <c r="E30" s="104"/>
      <c r="F30" s="109"/>
      <c r="G30" s="120" t="str">
        <f t="shared" si="2"/>
        <v>N/A</v>
      </c>
    </row>
    <row r="31" spans="1:7" s="2" customFormat="1" ht="15" customHeight="1">
      <c r="A31" s="1"/>
      <c r="B31" s="5"/>
      <c r="C31" s="52" t="s">
        <v>186</v>
      </c>
      <c r="D31" s="103"/>
      <c r="E31" s="104"/>
      <c r="F31" s="109"/>
      <c r="G31" s="120" t="str">
        <f t="shared" si="2"/>
        <v>N/A</v>
      </c>
    </row>
    <row r="32" spans="1:7" s="2" customFormat="1" ht="15" customHeight="1">
      <c r="A32" s="1"/>
      <c r="B32" s="5"/>
      <c r="C32" s="52" t="s">
        <v>183</v>
      </c>
      <c r="D32" s="103"/>
      <c r="E32" s="104"/>
      <c r="F32" s="109"/>
      <c r="G32" s="120" t="str">
        <f t="shared" si="2"/>
        <v>N/A</v>
      </c>
    </row>
    <row r="33" spans="1:7" s="2" customFormat="1" ht="15" customHeight="1">
      <c r="A33" s="1"/>
      <c r="B33" s="5"/>
      <c r="C33" s="52" t="s">
        <v>185</v>
      </c>
      <c r="D33" s="103"/>
      <c r="E33" s="104"/>
      <c r="F33" s="109"/>
      <c r="G33" s="120" t="str">
        <f t="shared" si="2"/>
        <v>N/A</v>
      </c>
    </row>
    <row r="34" spans="1:7" s="2" customFormat="1" ht="15" customHeight="1">
      <c r="A34" s="1"/>
      <c r="B34" s="5"/>
      <c r="C34" s="52" t="s">
        <v>187</v>
      </c>
      <c r="D34" s="103"/>
      <c r="E34" s="104"/>
      <c r="F34" s="109"/>
      <c r="G34" s="120" t="str">
        <f t="shared" si="2"/>
        <v>N/A</v>
      </c>
    </row>
    <row r="35" spans="1:7" s="2" customFormat="1" ht="15" customHeight="1" thickBot="1">
      <c r="A35" s="1"/>
      <c r="B35" s="5"/>
      <c r="C35" s="52" t="s">
        <v>184</v>
      </c>
      <c r="D35" s="105"/>
      <c r="E35" s="106"/>
      <c r="F35" s="110"/>
      <c r="G35" s="120" t="str">
        <f t="shared" si="2"/>
        <v>N/A</v>
      </c>
    </row>
    <row r="36" spans="1:7" s="2" customFormat="1" ht="15" customHeight="1" thickBot="1">
      <c r="A36" s="1"/>
      <c r="B36" s="452" t="s">
        <v>199</v>
      </c>
      <c r="C36" s="453"/>
      <c r="D36" s="112" t="str">
        <f>IF(COUNTIF(D28:D35,"Standard")&gt;0,"Standard",IF(COUNTIF(D28:D35,"Optional")&gt;0,"Optional","N/A"))</f>
        <v>N/A</v>
      </c>
      <c r="E36" s="113" t="str">
        <f>IF(COUNTIF(E28:E35,"Standard")&gt;0,"Standard",IF(COUNTIF(E28:E35,"Optional")&gt;0,"Optional","N/A"))</f>
        <v>N/A</v>
      </c>
      <c r="F36" s="111"/>
      <c r="G36" s="121" t="str">
        <f>IF(COUNTIF(G28:G35,"Standard")&gt;0,"Standard",IF(COUNTIF(G28:G35,"Optional")&gt;0,"Optional","N/A"))</f>
        <v>N/A</v>
      </c>
    </row>
    <row r="37" spans="1:7" s="2" customFormat="1" ht="15" customHeight="1" thickBot="1">
      <c r="A37" s="1"/>
      <c r="B37" s="1"/>
      <c r="C37" s="3"/>
      <c r="D37" s="1"/>
      <c r="E37" s="45"/>
      <c r="F37" s="1"/>
    </row>
    <row r="38" spans="1:7" s="2" customFormat="1" ht="15" customHeight="1" thickBot="1">
      <c r="A38" s="1"/>
      <c r="B38" s="9" t="s">
        <v>195</v>
      </c>
      <c r="C38" s="19"/>
      <c r="D38" s="116" t="s">
        <v>196</v>
      </c>
      <c r="E38" s="117" t="s">
        <v>197</v>
      </c>
      <c r="F38" s="118" t="s">
        <v>175</v>
      </c>
      <c r="G38" s="119" t="s">
        <v>169</v>
      </c>
    </row>
    <row r="39" spans="1:7" s="2" customFormat="1" ht="15" customHeight="1">
      <c r="A39" s="1"/>
      <c r="B39" s="5"/>
      <c r="C39" s="52" t="s">
        <v>181</v>
      </c>
      <c r="D39" s="103"/>
      <c r="E39" s="104"/>
      <c r="F39" s="107"/>
      <c r="G39" s="120" t="str">
        <f>IF(COUNTIF(D39:F39,"Standard")&gt;0,"Standard",IF(COUNTIF(D39:F39,"Optional")&gt;0,"Optional","N/A"))</f>
        <v>N/A</v>
      </c>
    </row>
    <row r="40" spans="1:7" s="2" customFormat="1" ht="15" customHeight="1">
      <c r="A40" s="1"/>
      <c r="B40" s="5"/>
      <c r="C40" s="52" t="s">
        <v>180</v>
      </c>
      <c r="D40" s="103"/>
      <c r="E40" s="104"/>
      <c r="F40" s="107"/>
      <c r="G40" s="120" t="str">
        <f t="shared" ref="G40:G46" si="3">IF(COUNTIF(D40:F40,"Standard")&gt;0,"Standard",IF(COUNTIF(D40:F40,"Optional")&gt;0,"Optional","N/A"))</f>
        <v>N/A</v>
      </c>
    </row>
    <row r="41" spans="1:7" s="2" customFormat="1" ht="15" customHeight="1">
      <c r="A41" s="1"/>
      <c r="B41" s="5"/>
      <c r="C41" s="52" t="s">
        <v>182</v>
      </c>
      <c r="D41" s="103"/>
      <c r="E41" s="104"/>
      <c r="F41" s="107"/>
      <c r="G41" s="120" t="str">
        <f t="shared" si="3"/>
        <v>N/A</v>
      </c>
    </row>
    <row r="42" spans="1:7" s="2" customFormat="1" ht="15" customHeight="1">
      <c r="A42" s="1"/>
      <c r="B42" s="5"/>
      <c r="C42" s="52" t="s">
        <v>186</v>
      </c>
      <c r="D42" s="103"/>
      <c r="E42" s="104"/>
      <c r="F42" s="107"/>
      <c r="G42" s="120" t="str">
        <f t="shared" si="3"/>
        <v>N/A</v>
      </c>
    </row>
    <row r="43" spans="1:7" s="2" customFormat="1" ht="15" customHeight="1">
      <c r="A43" s="1"/>
      <c r="B43" s="5"/>
      <c r="C43" s="52" t="s">
        <v>183</v>
      </c>
      <c r="D43" s="103"/>
      <c r="E43" s="104"/>
      <c r="F43" s="107"/>
      <c r="G43" s="120" t="str">
        <f t="shared" si="3"/>
        <v>N/A</v>
      </c>
    </row>
    <row r="44" spans="1:7" s="2" customFormat="1" ht="15" customHeight="1">
      <c r="A44" s="1"/>
      <c r="B44" s="5"/>
      <c r="C44" s="52" t="s">
        <v>185</v>
      </c>
      <c r="D44" s="103"/>
      <c r="E44" s="104"/>
      <c r="F44" s="107"/>
      <c r="G44" s="120" t="str">
        <f t="shared" si="3"/>
        <v>N/A</v>
      </c>
    </row>
    <row r="45" spans="1:7" s="2" customFormat="1" ht="15" customHeight="1">
      <c r="A45" s="1"/>
      <c r="B45" s="5"/>
      <c r="C45" s="52" t="s">
        <v>187</v>
      </c>
      <c r="D45" s="103"/>
      <c r="E45" s="104"/>
      <c r="F45" s="107"/>
      <c r="G45" s="120" t="str">
        <f t="shared" si="3"/>
        <v>N/A</v>
      </c>
    </row>
    <row r="46" spans="1:7" s="2" customFormat="1" ht="15" customHeight="1" thickBot="1">
      <c r="A46" s="1"/>
      <c r="B46" s="5"/>
      <c r="C46" s="52" t="s">
        <v>184</v>
      </c>
      <c r="D46" s="105"/>
      <c r="E46" s="106"/>
      <c r="F46" s="108"/>
      <c r="G46" s="120" t="str">
        <f t="shared" si="3"/>
        <v>N/A</v>
      </c>
    </row>
    <row r="47" spans="1:7" s="2" customFormat="1" ht="15" customHeight="1" thickBot="1">
      <c r="A47" s="1"/>
      <c r="B47" s="452" t="s">
        <v>200</v>
      </c>
      <c r="C47" s="453"/>
      <c r="D47" s="112" t="str">
        <f>IF(COUNTIF(D39:D46,"Standard")&gt;0,"Standard",IF(COUNTIF(D39:D46,"Optional")&gt;0,"Optional","N/A"))</f>
        <v>N/A</v>
      </c>
      <c r="E47" s="113" t="str">
        <f>IF(COUNTIF(E39:E46,"Standard")&gt;0,"Standard",IF(COUNTIF(E39:E46,"Optional")&gt;0,"Optional","N/A"))</f>
        <v>N/A</v>
      </c>
      <c r="F47" s="114" t="str">
        <f>IF(COUNTIF(F39:F46,"Standard")&gt;0,"Standard",IF(COUNTIF(F39:F46,"Optional")&gt;0,"Optional","N/A"))</f>
        <v>N/A</v>
      </c>
      <c r="G47" s="121" t="str">
        <f>IF(COUNTIF(G39:G46,"Standard")&gt;0,"Standard",IF(COUNTIF(G39:G46,"Optional")&gt;0,"Optional","N/A"))</f>
        <v>N/A</v>
      </c>
    </row>
  </sheetData>
  <sortState xmlns:xlrd2="http://schemas.microsoft.com/office/spreadsheetml/2017/richdata2" ref="C6:C13">
    <sortCondition ref="C6:C13"/>
  </sortState>
  <mergeCells count="6">
    <mergeCell ref="D2:F4"/>
    <mergeCell ref="B2:C4"/>
    <mergeCell ref="B25:C25"/>
    <mergeCell ref="B36:C36"/>
    <mergeCell ref="B47:C47"/>
    <mergeCell ref="B14:C14"/>
  </mergeCells>
  <dataValidations count="1">
    <dataValidation type="list" allowBlank="1" showInputMessage="1" showErrorMessage="1" sqref="D39:F46 D28:E35 D17:F24 D6:F13" xr:uid="{6422CCAD-B307-436B-9D75-C3B84A5C990B}">
      <formula1>"Standard,Optional,N/A"</formula1>
    </dataValidation>
  </dataValidations>
  <pageMargins left="0.7" right="0.7" top="0.75" bottom="0.75" header="0.3" footer="0.3"/>
  <pageSetup paperSize="9" orientation="portrait" horizontalDpi="4294967293"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EC2558-7E24-4530-AE6E-CAD8E8DA347F}">
  <sheetPr codeName="Sheet2">
    <tabColor rgb="FF106A84"/>
  </sheetPr>
  <dimension ref="A1:AF70"/>
  <sheetViews>
    <sheetView showGridLines="0" tabSelected="1" topLeftCell="F1" zoomScale="85" zoomScaleNormal="85" workbookViewId="0">
      <selection activeCell="P32" sqref="P32"/>
    </sheetView>
  </sheetViews>
  <sheetFormatPr defaultColWidth="9.140625" defaultRowHeight="15"/>
  <cols>
    <col min="1" max="1" width="22.5703125" style="220" customWidth="1"/>
    <col min="2" max="2" width="20.7109375" style="169" customWidth="1"/>
    <col min="3" max="3" width="11.7109375" style="170" customWidth="1"/>
    <col min="4" max="24" width="9.85546875" style="169" customWidth="1"/>
    <col min="25" max="25" width="15.42578125" style="169" customWidth="1"/>
    <col min="26" max="26" width="14" style="169" customWidth="1"/>
    <col min="27" max="28" width="9.85546875" style="169" customWidth="1"/>
    <col min="29" max="29" width="30" style="169" customWidth="1"/>
    <col min="30" max="32" width="9.140625" style="217" customWidth="1"/>
    <col min="33" max="16384" width="9.140625" style="169"/>
  </cols>
  <sheetData>
    <row r="1" spans="1:32" ht="25.5" customHeight="1" thickBot="1">
      <c r="A1" s="231" t="str">
        <f>CONCATENATE('General Overview'!C3," ",'General Overview'!C4)</f>
        <v>Toyota PROACE</v>
      </c>
      <c r="Q1" s="171"/>
    </row>
    <row r="2" spans="1:32" ht="19.5" thickBot="1">
      <c r="A2" s="172" t="s">
        <v>358</v>
      </c>
      <c r="B2" s="458" t="s">
        <v>359</v>
      </c>
      <c r="C2" s="173"/>
      <c r="D2" s="461" t="s">
        <v>360</v>
      </c>
      <c r="E2" s="462"/>
      <c r="F2" s="462"/>
      <c r="G2" s="462"/>
      <c r="H2" s="462"/>
      <c r="I2" s="462"/>
      <c r="J2" s="462"/>
      <c r="K2" s="462"/>
      <c r="L2" s="462"/>
      <c r="M2" s="462"/>
      <c r="N2" s="461" t="s">
        <v>361</v>
      </c>
      <c r="O2" s="462"/>
      <c r="P2" s="462"/>
      <c r="Q2" s="462"/>
      <c r="R2" s="462"/>
      <c r="S2" s="462"/>
      <c r="T2" s="462"/>
      <c r="U2" s="462"/>
      <c r="V2" s="462"/>
      <c r="W2" s="462"/>
      <c r="X2" s="462"/>
      <c r="Y2" s="462"/>
      <c r="Z2" s="462"/>
      <c r="AA2" s="461" t="s">
        <v>362</v>
      </c>
      <c r="AB2" s="462"/>
      <c r="AC2" s="174"/>
      <c r="AD2" s="457"/>
      <c r="AE2" s="457"/>
      <c r="AF2" s="457"/>
    </row>
    <row r="3" spans="1:32" ht="17.25" customHeight="1" thickBot="1">
      <c r="A3" s="175"/>
      <c r="B3" s="459"/>
      <c r="C3" s="176"/>
      <c r="D3" s="454" t="s">
        <v>11</v>
      </c>
      <c r="E3" s="456"/>
      <c r="F3" s="455" t="s">
        <v>363</v>
      </c>
      <c r="G3" s="455"/>
      <c r="H3" s="456"/>
      <c r="I3" s="454" t="s">
        <v>364</v>
      </c>
      <c r="J3" s="455"/>
      <c r="K3" s="456"/>
      <c r="L3" s="454" t="s">
        <v>365</v>
      </c>
      <c r="M3" s="456"/>
      <c r="N3" s="455" t="s">
        <v>22</v>
      </c>
      <c r="O3" s="455"/>
      <c r="P3" s="456"/>
      <c r="Q3" s="454" t="s">
        <v>366</v>
      </c>
      <c r="R3" s="455"/>
      <c r="S3" s="456"/>
      <c r="T3" s="454" t="s">
        <v>367</v>
      </c>
      <c r="U3" s="455"/>
      <c r="V3" s="455"/>
      <c r="W3" s="455"/>
      <c r="X3" s="456"/>
      <c r="Y3" s="454" t="s">
        <v>368</v>
      </c>
      <c r="Z3" s="455"/>
      <c r="AA3" s="177"/>
      <c r="AB3" s="178"/>
      <c r="AC3" s="179"/>
      <c r="AD3" s="225" t="s">
        <v>82</v>
      </c>
      <c r="AE3" s="225" t="s">
        <v>169</v>
      </c>
      <c r="AF3" s="225" t="s">
        <v>1</v>
      </c>
    </row>
    <row r="4" spans="1:32" ht="27.75" customHeight="1" thickBot="1">
      <c r="A4" s="175"/>
      <c r="B4" s="460"/>
      <c r="C4" s="180" t="s">
        <v>369</v>
      </c>
      <c r="D4" s="181" t="s">
        <v>370</v>
      </c>
      <c r="E4" s="182" t="s">
        <v>371</v>
      </c>
      <c r="F4" s="183" t="s">
        <v>372</v>
      </c>
      <c r="G4" s="182" t="s">
        <v>370</v>
      </c>
      <c r="H4" s="184" t="s">
        <v>371</v>
      </c>
      <c r="I4" s="183" t="s">
        <v>372</v>
      </c>
      <c r="J4" s="182" t="s">
        <v>370</v>
      </c>
      <c r="K4" s="184" t="s">
        <v>371</v>
      </c>
      <c r="L4" s="185" t="s">
        <v>373</v>
      </c>
      <c r="M4" s="184" t="s">
        <v>374</v>
      </c>
      <c r="N4" s="186" t="s">
        <v>375</v>
      </c>
      <c r="O4" s="187" t="s">
        <v>376</v>
      </c>
      <c r="P4" s="188" t="s">
        <v>377</v>
      </c>
      <c r="Q4" s="189" t="s">
        <v>378</v>
      </c>
      <c r="R4" s="189" t="s">
        <v>379</v>
      </c>
      <c r="S4" s="184" t="s">
        <v>380</v>
      </c>
      <c r="T4" s="183" t="s">
        <v>381</v>
      </c>
      <c r="U4" s="190" t="s">
        <v>382</v>
      </c>
      <c r="V4" s="190" t="s">
        <v>383</v>
      </c>
      <c r="W4" s="189" t="s">
        <v>384</v>
      </c>
      <c r="X4" s="184" t="s">
        <v>385</v>
      </c>
      <c r="Y4" s="189" t="s">
        <v>386</v>
      </c>
      <c r="Z4" s="191" t="s">
        <v>387</v>
      </c>
      <c r="AA4" s="192" t="s">
        <v>388</v>
      </c>
      <c r="AB4" s="191" t="s">
        <v>389</v>
      </c>
      <c r="AC4" s="193" t="s">
        <v>221</v>
      </c>
      <c r="AD4" s="226" t="s">
        <v>82</v>
      </c>
      <c r="AE4" s="227" t="s">
        <v>169</v>
      </c>
      <c r="AF4" s="226" t="s">
        <v>1</v>
      </c>
    </row>
    <row r="5" spans="1:32" ht="15.75" hidden="1" customHeight="1" thickBot="1">
      <c r="A5" s="175"/>
      <c r="B5" s="194"/>
      <c r="C5" s="176"/>
      <c r="D5" s="183">
        <v>1</v>
      </c>
      <c r="E5" s="184">
        <v>2</v>
      </c>
      <c r="F5" s="183">
        <v>3</v>
      </c>
      <c r="G5" s="189">
        <v>4</v>
      </c>
      <c r="H5" s="184">
        <v>5</v>
      </c>
      <c r="I5" s="183">
        <v>6</v>
      </c>
      <c r="J5" s="189">
        <v>7</v>
      </c>
      <c r="K5" s="184">
        <v>8</v>
      </c>
      <c r="L5" s="183">
        <v>9</v>
      </c>
      <c r="M5" s="184">
        <v>10</v>
      </c>
      <c r="N5" s="183">
        <v>11</v>
      </c>
      <c r="O5" s="189">
        <v>12</v>
      </c>
      <c r="P5" s="184">
        <v>13</v>
      </c>
      <c r="Q5" s="183">
        <v>14</v>
      </c>
      <c r="R5" s="189">
        <v>15</v>
      </c>
      <c r="S5" s="184">
        <v>16</v>
      </c>
      <c r="T5" s="183">
        <v>17</v>
      </c>
      <c r="U5" s="189">
        <v>18</v>
      </c>
      <c r="V5" s="189">
        <v>19</v>
      </c>
      <c r="W5" s="189">
        <v>20</v>
      </c>
      <c r="X5" s="184">
        <v>21</v>
      </c>
      <c r="Y5" s="183">
        <v>22</v>
      </c>
      <c r="Z5" s="184">
        <v>23</v>
      </c>
      <c r="AA5" s="183">
        <v>24</v>
      </c>
      <c r="AB5" s="184">
        <v>25</v>
      </c>
      <c r="AC5" s="195"/>
    </row>
    <row r="6" spans="1:32">
      <c r="A6" s="175"/>
      <c r="B6" s="295" t="s">
        <v>390</v>
      </c>
      <c r="C6" s="196" t="s">
        <v>391</v>
      </c>
      <c r="D6" s="374" t="s">
        <v>392</v>
      </c>
      <c r="E6" s="198" t="s">
        <v>392</v>
      </c>
      <c r="F6" s="197" t="s">
        <v>392</v>
      </c>
      <c r="G6" s="200" t="s">
        <v>394</v>
      </c>
      <c r="H6" s="198" t="s">
        <v>394</v>
      </c>
      <c r="I6" s="197" t="s">
        <v>392</v>
      </c>
      <c r="J6" s="200" t="s">
        <v>392</v>
      </c>
      <c r="K6" s="198" t="s">
        <v>392</v>
      </c>
      <c r="L6" s="197" t="s">
        <v>394</v>
      </c>
      <c r="M6" s="198" t="s">
        <v>394</v>
      </c>
      <c r="N6" s="197" t="s">
        <v>444</v>
      </c>
      <c r="O6" s="200" t="s">
        <v>444</v>
      </c>
      <c r="P6" s="198" t="s">
        <v>394</v>
      </c>
      <c r="Q6" s="197" t="s">
        <v>394</v>
      </c>
      <c r="R6" s="200" t="s">
        <v>444</v>
      </c>
      <c r="S6" s="198" t="s">
        <v>444</v>
      </c>
      <c r="T6" s="197" t="s">
        <v>444</v>
      </c>
      <c r="U6" s="200" t="s">
        <v>394</v>
      </c>
      <c r="V6" s="200" t="s">
        <v>392</v>
      </c>
      <c r="W6" s="200" t="s">
        <v>392</v>
      </c>
      <c r="X6" s="198" t="s">
        <v>392</v>
      </c>
      <c r="Y6" s="197" t="s">
        <v>392</v>
      </c>
      <c r="Z6" s="198" t="s">
        <v>444</v>
      </c>
      <c r="AA6" s="199" t="s">
        <v>394</v>
      </c>
      <c r="AB6" s="198" t="s">
        <v>394</v>
      </c>
      <c r="AC6" s="201"/>
      <c r="AD6" s="217" t="str" cm="1">
        <f t="array" ref="AD6">IF(OR(Q6:S6="Std"),"Std",IF(OR(Q6:S6="Opt1",Q6:S6="Opt2"),"Opt","N/A"))</f>
        <v>Opt</v>
      </c>
      <c r="AE6" s="217" t="str">
        <f t="array" ref="AE6">IF(OR(T6:X6="Std"),"Std",IF(OR(T6:X6="Opt1",T6:X6="Opt2"),"Opt","N/A"))</f>
        <v>Std</v>
      </c>
      <c r="AF6" s="217" t="str">
        <f t="array" ref="AF6">IF(OR(Y6:Z6="Std"),"Std",IF(OR(Y6:Z6="Opt1",Y6:Z6="Opt2"),"Opt","N/A"))</f>
        <v>Std</v>
      </c>
    </row>
    <row r="7" spans="1:32">
      <c r="A7" s="175"/>
      <c r="B7" s="295" t="s">
        <v>395</v>
      </c>
      <c r="C7" s="196" t="s">
        <v>396</v>
      </c>
      <c r="D7" s="202" t="s">
        <v>392</v>
      </c>
      <c r="E7" s="203" t="s">
        <v>392</v>
      </c>
      <c r="F7" s="202" t="s">
        <v>392</v>
      </c>
      <c r="G7" s="205" t="s">
        <v>394</v>
      </c>
      <c r="H7" s="203" t="s">
        <v>394</v>
      </c>
      <c r="I7" s="202" t="s">
        <v>392</v>
      </c>
      <c r="J7" s="205" t="s">
        <v>392</v>
      </c>
      <c r="K7" s="203" t="s">
        <v>392</v>
      </c>
      <c r="L7" s="202" t="s">
        <v>394</v>
      </c>
      <c r="M7" s="203" t="s">
        <v>394</v>
      </c>
      <c r="N7" s="202" t="s">
        <v>394</v>
      </c>
      <c r="O7" s="205" t="s">
        <v>394</v>
      </c>
      <c r="P7" s="203" t="s">
        <v>394</v>
      </c>
      <c r="Q7" s="202" t="s">
        <v>394</v>
      </c>
      <c r="R7" s="205" t="s">
        <v>394</v>
      </c>
      <c r="S7" s="203" t="s">
        <v>444</v>
      </c>
      <c r="T7" s="202" t="s">
        <v>394</v>
      </c>
      <c r="U7" s="205" t="s">
        <v>394</v>
      </c>
      <c r="V7" s="205" t="s">
        <v>392</v>
      </c>
      <c r="W7" s="205" t="s">
        <v>392</v>
      </c>
      <c r="X7" s="203" t="s">
        <v>392</v>
      </c>
      <c r="Y7" s="202" t="s">
        <v>392</v>
      </c>
      <c r="Z7" s="203" t="s">
        <v>444</v>
      </c>
      <c r="AA7" s="204" t="s">
        <v>394</v>
      </c>
      <c r="AB7" s="203" t="s">
        <v>394</v>
      </c>
      <c r="AC7" s="206"/>
      <c r="AD7" s="217" t="str" cm="1">
        <f t="array" ref="AD7">IF(OR(Q7:S7="Std"),"Std",IF(OR(Q7:S7="Opt1",Q7:S7="Opt2"),"Opt","N/A"))</f>
        <v>Opt</v>
      </c>
      <c r="AE7" s="217" t="str">
        <f t="array" ref="AE7">IF(OR(T7:X7="Std"),"Std",IF(OR(T7:X7="Opt1",T7:X7="Opt2"),"Opt","N/A"))</f>
        <v>Std</v>
      </c>
      <c r="AF7" s="217" t="str">
        <f t="array" ref="AF7">IF(OR(Y7:Z7="Std"),"Std",IF(OR(Y7:Z7="Opt1",Y7:Z7="Opt2"),"Opt","N/A"))</f>
        <v>Std</v>
      </c>
    </row>
    <row r="8" spans="1:32">
      <c r="A8" s="175"/>
      <c r="B8" s="295" t="s">
        <v>397</v>
      </c>
      <c r="C8" s="196" t="s">
        <v>398</v>
      </c>
      <c r="D8" s="202" t="s">
        <v>392</v>
      </c>
      <c r="E8" s="203" t="s">
        <v>392</v>
      </c>
      <c r="F8" s="202" t="s">
        <v>392</v>
      </c>
      <c r="G8" s="205" t="s">
        <v>394</v>
      </c>
      <c r="H8" s="203" t="s">
        <v>394</v>
      </c>
      <c r="I8" s="202" t="s">
        <v>392</v>
      </c>
      <c r="J8" s="205" t="s">
        <v>392</v>
      </c>
      <c r="K8" s="203" t="s">
        <v>392</v>
      </c>
      <c r="L8" s="202" t="s">
        <v>394</v>
      </c>
      <c r="M8" s="203" t="s">
        <v>394</v>
      </c>
      <c r="N8" s="202" t="s">
        <v>394</v>
      </c>
      <c r="O8" s="205" t="s">
        <v>394</v>
      </c>
      <c r="P8" s="203" t="s">
        <v>394</v>
      </c>
      <c r="Q8" s="202" t="s">
        <v>394</v>
      </c>
      <c r="R8" s="205" t="s">
        <v>394</v>
      </c>
      <c r="S8" s="203" t="s">
        <v>394</v>
      </c>
      <c r="T8" s="202" t="s">
        <v>394</v>
      </c>
      <c r="U8" s="205" t="s">
        <v>394</v>
      </c>
      <c r="V8" s="205" t="s">
        <v>392</v>
      </c>
      <c r="W8" s="205" t="s">
        <v>392</v>
      </c>
      <c r="X8" s="203" t="s">
        <v>392</v>
      </c>
      <c r="Y8" s="202" t="s">
        <v>392</v>
      </c>
      <c r="Z8" s="203" t="s">
        <v>394</v>
      </c>
      <c r="AA8" s="204" t="s">
        <v>394</v>
      </c>
      <c r="AB8" s="203" t="s">
        <v>394</v>
      </c>
      <c r="AC8" s="207"/>
      <c r="AD8" s="217" t="str" cm="1">
        <f t="array" ref="AD8">IF(OR(Q8:S8="Std"),"Std",IF(OR(Q8:S8="Opt1",Q8:S8="Opt2"),"Opt","N/A"))</f>
        <v>N/A</v>
      </c>
      <c r="AE8" s="217" t="str">
        <f t="array" ref="AE8">IF(OR(T8:X8="Std"),"Std",IF(OR(T8:X8="Opt1",T8:X8="Opt2"),"Opt","N/A"))</f>
        <v>Std</v>
      </c>
      <c r="AF8" s="217" t="str">
        <f t="array" ref="AF8">IF(OR(Y8:Z8="Std"),"Std",IF(OR(Y8:Z8="Opt1",Y8:Z8="Opt2"),"Opt","N/A"))</f>
        <v>Std</v>
      </c>
    </row>
    <row r="9" spans="1:32">
      <c r="A9" s="175"/>
      <c r="B9" s="295" t="s">
        <v>399</v>
      </c>
      <c r="C9" s="196" t="s">
        <v>400</v>
      </c>
      <c r="D9" s="202" t="s">
        <v>392</v>
      </c>
      <c r="E9" s="203" t="s">
        <v>392</v>
      </c>
      <c r="F9" s="202" t="s">
        <v>392</v>
      </c>
      <c r="G9" s="205" t="s">
        <v>394</v>
      </c>
      <c r="H9" s="203" t="s">
        <v>394</v>
      </c>
      <c r="I9" s="202" t="s">
        <v>392</v>
      </c>
      <c r="J9" s="205" t="s">
        <v>392</v>
      </c>
      <c r="K9" s="203" t="s">
        <v>392</v>
      </c>
      <c r="L9" s="202" t="s">
        <v>394</v>
      </c>
      <c r="M9" s="203" t="s">
        <v>394</v>
      </c>
      <c r="N9" s="202" t="s">
        <v>394</v>
      </c>
      <c r="O9" s="205" t="s">
        <v>394</v>
      </c>
      <c r="P9" s="203" t="s">
        <v>394</v>
      </c>
      <c r="Q9" s="202" t="s">
        <v>394</v>
      </c>
      <c r="R9" s="205" t="s">
        <v>444</v>
      </c>
      <c r="S9" s="203" t="s">
        <v>444</v>
      </c>
      <c r="T9" s="202" t="s">
        <v>444</v>
      </c>
      <c r="U9" s="205" t="s">
        <v>394</v>
      </c>
      <c r="V9" s="205" t="s">
        <v>392</v>
      </c>
      <c r="W9" s="205" t="s">
        <v>392</v>
      </c>
      <c r="X9" s="203" t="s">
        <v>392</v>
      </c>
      <c r="Y9" s="202" t="s">
        <v>392</v>
      </c>
      <c r="Z9" s="203" t="s">
        <v>444</v>
      </c>
      <c r="AA9" s="204" t="s">
        <v>394</v>
      </c>
      <c r="AB9" s="203" t="s">
        <v>394</v>
      </c>
      <c r="AC9" s="207"/>
      <c r="AD9" s="217" t="str" cm="1">
        <f t="array" ref="AD9">IF(OR(Q9:S9="Std"),"Std",IF(OR(Q9:S9="Opt1",Q9:S9="Opt2"),"Opt","N/A"))</f>
        <v>Opt</v>
      </c>
      <c r="AE9" s="217" t="str">
        <f t="array" ref="AE9">IF(OR(T9:X9="Std"),"Std",IF(OR(T9:X9="Opt1",T9:X9="Opt2"),"Opt","N/A"))</f>
        <v>Std</v>
      </c>
      <c r="AF9" s="217" t="str">
        <f t="array" ref="AF9">IF(OR(Y9:Z9="Std"),"Std",IF(OR(Y9:Z9="Opt1",Y9:Z9="Opt2"),"Opt","N/A"))</f>
        <v>Std</v>
      </c>
    </row>
    <row r="10" spans="1:32">
      <c r="A10" s="175"/>
      <c r="B10" s="295" t="s">
        <v>401</v>
      </c>
      <c r="C10" s="196" t="s">
        <v>402</v>
      </c>
      <c r="D10" s="202" t="s">
        <v>392</v>
      </c>
      <c r="E10" s="203" t="s">
        <v>392</v>
      </c>
      <c r="F10" s="202" t="s">
        <v>392</v>
      </c>
      <c r="G10" s="205" t="s">
        <v>394</v>
      </c>
      <c r="H10" s="203" t="s">
        <v>394</v>
      </c>
      <c r="I10" s="202" t="s">
        <v>392</v>
      </c>
      <c r="J10" s="205" t="s">
        <v>392</v>
      </c>
      <c r="K10" s="203" t="s">
        <v>392</v>
      </c>
      <c r="L10" s="202" t="s">
        <v>394</v>
      </c>
      <c r="M10" s="203" t="s">
        <v>394</v>
      </c>
      <c r="N10" s="202" t="s">
        <v>394</v>
      </c>
      <c r="O10" s="205" t="s">
        <v>394</v>
      </c>
      <c r="P10" s="203" t="s">
        <v>394</v>
      </c>
      <c r="Q10" s="202" t="s">
        <v>394</v>
      </c>
      <c r="R10" s="205" t="s">
        <v>394</v>
      </c>
      <c r="S10" s="203" t="s">
        <v>394</v>
      </c>
      <c r="T10" s="202" t="s">
        <v>394</v>
      </c>
      <c r="U10" s="205" t="s">
        <v>394</v>
      </c>
      <c r="V10" s="205" t="s">
        <v>392</v>
      </c>
      <c r="W10" s="205" t="s">
        <v>392</v>
      </c>
      <c r="X10" s="203" t="s">
        <v>392</v>
      </c>
      <c r="Y10" s="202" t="s">
        <v>392</v>
      </c>
      <c r="Z10" s="203" t="s">
        <v>394</v>
      </c>
      <c r="AA10" s="204" t="s">
        <v>394</v>
      </c>
      <c r="AB10" s="203" t="s">
        <v>394</v>
      </c>
      <c r="AC10" s="207"/>
      <c r="AD10" s="217" t="str" cm="1">
        <f t="array" ref="AD10">IF(OR(Q10:S10="Std"),"Std",IF(OR(Q10:S10="Opt1",Q10:S10="Opt2"),"Opt","N/A"))</f>
        <v>N/A</v>
      </c>
      <c r="AE10" s="217" t="str">
        <f t="array" ref="AE10">IF(OR(T10:X10="Std"),"Std",IF(OR(T10:X10="Opt1",T10:X10="Opt2"),"Opt","N/A"))</f>
        <v>Std</v>
      </c>
      <c r="AF10" s="217" t="str">
        <f t="array" ref="AF10">IF(OR(Y10:Z10="Std"),"Std",IF(OR(Y10:Z10="Opt1",Y10:Z10="Opt2"),"Opt","N/A"))</f>
        <v>Std</v>
      </c>
    </row>
    <row r="11" spans="1:32">
      <c r="A11" s="175"/>
      <c r="B11" s="296" t="s">
        <v>403</v>
      </c>
      <c r="C11" s="208" t="s">
        <v>404</v>
      </c>
      <c r="D11" s="202" t="s">
        <v>392</v>
      </c>
      <c r="E11" s="203" t="s">
        <v>392</v>
      </c>
      <c r="F11" s="202" t="s">
        <v>392</v>
      </c>
      <c r="G11" s="205" t="s">
        <v>394</v>
      </c>
      <c r="H11" s="203" t="s">
        <v>394</v>
      </c>
      <c r="I11" s="202" t="s">
        <v>392</v>
      </c>
      <c r="J11" s="205" t="s">
        <v>392</v>
      </c>
      <c r="K11" s="203" t="s">
        <v>392</v>
      </c>
      <c r="L11" s="202" t="s">
        <v>394</v>
      </c>
      <c r="M11" s="203" t="s">
        <v>394</v>
      </c>
      <c r="N11" s="202" t="s">
        <v>444</v>
      </c>
      <c r="O11" s="205" t="s">
        <v>444</v>
      </c>
      <c r="P11" s="203" t="s">
        <v>394</v>
      </c>
      <c r="Q11" s="202" t="s">
        <v>394</v>
      </c>
      <c r="R11" s="205" t="s">
        <v>444</v>
      </c>
      <c r="S11" s="203" t="s">
        <v>444</v>
      </c>
      <c r="T11" s="202" t="s">
        <v>444</v>
      </c>
      <c r="U11" s="205" t="s">
        <v>394</v>
      </c>
      <c r="V11" s="205" t="s">
        <v>392</v>
      </c>
      <c r="W11" s="205" t="s">
        <v>392</v>
      </c>
      <c r="X11" s="203" t="s">
        <v>392</v>
      </c>
      <c r="Y11" s="202" t="s">
        <v>392</v>
      </c>
      <c r="Z11" s="203" t="s">
        <v>444</v>
      </c>
      <c r="AA11" s="204" t="s">
        <v>394</v>
      </c>
      <c r="AB11" s="203" t="s">
        <v>394</v>
      </c>
      <c r="AC11" s="209"/>
      <c r="AD11" s="217" t="str" cm="1">
        <f t="array" ref="AD11">IF(OR(Q11:S11="Std"),"Std",IF(OR(Q11:S11="Opt1",Q11:S11="Opt2"),"Opt","N/A"))</f>
        <v>Opt</v>
      </c>
      <c r="AE11" s="217" t="str">
        <f t="array" ref="AE11">IF(OR(T11:X11="Std"),"Std",IF(OR(T11:X11="Opt1",T11:X11="Opt2"),"Opt","N/A"))</f>
        <v>Std</v>
      </c>
      <c r="AF11" s="217" t="str">
        <f t="array" ref="AF11">IF(OR(Y11:Z11="Std"),"Std",IF(OR(Y11:Z11="Opt1",Y11:Z11="Opt2"),"Opt","N/A"))</f>
        <v>Std</v>
      </c>
    </row>
    <row r="12" spans="1:32">
      <c r="A12" s="175"/>
      <c r="B12" s="296" t="s">
        <v>405</v>
      </c>
      <c r="C12" s="208" t="s">
        <v>406</v>
      </c>
      <c r="D12" s="202" t="s">
        <v>392</v>
      </c>
      <c r="E12" s="203" t="s">
        <v>392</v>
      </c>
      <c r="F12" s="202" t="s">
        <v>392</v>
      </c>
      <c r="G12" s="205" t="s">
        <v>394</v>
      </c>
      <c r="H12" s="203" t="s">
        <v>394</v>
      </c>
      <c r="I12" s="202" t="s">
        <v>392</v>
      </c>
      <c r="J12" s="205" t="s">
        <v>392</v>
      </c>
      <c r="K12" s="203" t="s">
        <v>392</v>
      </c>
      <c r="L12" s="202" t="s">
        <v>394</v>
      </c>
      <c r="M12" s="203" t="s">
        <v>394</v>
      </c>
      <c r="N12" s="202" t="s">
        <v>444</v>
      </c>
      <c r="O12" s="205" t="s">
        <v>444</v>
      </c>
      <c r="P12" s="203" t="s">
        <v>394</v>
      </c>
      <c r="Q12" s="202" t="s">
        <v>394</v>
      </c>
      <c r="R12" s="205" t="s">
        <v>444</v>
      </c>
      <c r="S12" s="203" t="s">
        <v>444</v>
      </c>
      <c r="T12" s="202" t="s">
        <v>444</v>
      </c>
      <c r="U12" s="205" t="s">
        <v>394</v>
      </c>
      <c r="V12" s="205" t="s">
        <v>392</v>
      </c>
      <c r="W12" s="205" t="s">
        <v>392</v>
      </c>
      <c r="X12" s="203" t="s">
        <v>392</v>
      </c>
      <c r="Y12" s="202" t="s">
        <v>392</v>
      </c>
      <c r="Z12" s="203" t="s">
        <v>444</v>
      </c>
      <c r="AA12" s="204" t="s">
        <v>394</v>
      </c>
      <c r="AB12" s="203" t="s">
        <v>394</v>
      </c>
      <c r="AC12" s="209"/>
      <c r="AD12" s="217" t="str" cm="1">
        <f t="array" ref="AD12">IF(OR(Q12:S12="Std"),"Std",IF(OR(Q12:S12="Opt1",Q12:S12="Opt2"),"Opt","N/A"))</f>
        <v>Opt</v>
      </c>
      <c r="AE12" s="217" t="str">
        <f t="array" ref="AE12">IF(OR(T12:X12="Std"),"Std",IF(OR(T12:X12="Opt1",T12:X12="Opt2"),"Opt","N/A"))</f>
        <v>Std</v>
      </c>
      <c r="AF12" s="217" t="str">
        <f t="array" ref="AF12">IF(OR(Y12:Z12="Std"),"Std",IF(OR(Y12:Z12="Opt1",Y12:Z12="Opt2"),"Opt","N/A"))</f>
        <v>Std</v>
      </c>
    </row>
    <row r="13" spans="1:32">
      <c r="A13" s="175"/>
      <c r="B13" s="296" t="s">
        <v>407</v>
      </c>
      <c r="C13" s="208" t="s">
        <v>408</v>
      </c>
      <c r="D13" s="202" t="s">
        <v>392</v>
      </c>
      <c r="E13" s="203" t="s">
        <v>392</v>
      </c>
      <c r="F13" s="202" t="s">
        <v>392</v>
      </c>
      <c r="G13" s="205" t="s">
        <v>394</v>
      </c>
      <c r="H13" s="203" t="s">
        <v>394</v>
      </c>
      <c r="I13" s="202" t="s">
        <v>392</v>
      </c>
      <c r="J13" s="205" t="s">
        <v>392</v>
      </c>
      <c r="K13" s="203" t="s">
        <v>392</v>
      </c>
      <c r="L13" s="202" t="s">
        <v>394</v>
      </c>
      <c r="M13" s="203" t="s">
        <v>394</v>
      </c>
      <c r="N13" s="202" t="s">
        <v>394</v>
      </c>
      <c r="O13" s="205" t="s">
        <v>394</v>
      </c>
      <c r="P13" s="203" t="s">
        <v>394</v>
      </c>
      <c r="Q13" s="202" t="s">
        <v>394</v>
      </c>
      <c r="R13" s="205" t="s">
        <v>444</v>
      </c>
      <c r="S13" s="203" t="s">
        <v>444</v>
      </c>
      <c r="T13" s="202" t="s">
        <v>444</v>
      </c>
      <c r="U13" s="205" t="s">
        <v>394</v>
      </c>
      <c r="V13" s="205" t="s">
        <v>392</v>
      </c>
      <c r="W13" s="205" t="s">
        <v>392</v>
      </c>
      <c r="X13" s="203" t="s">
        <v>392</v>
      </c>
      <c r="Y13" s="202" t="s">
        <v>392</v>
      </c>
      <c r="Z13" s="203" t="s">
        <v>444</v>
      </c>
      <c r="AA13" s="204" t="s">
        <v>394</v>
      </c>
      <c r="AB13" s="203" t="s">
        <v>394</v>
      </c>
      <c r="AC13" s="210"/>
      <c r="AD13" s="217" t="str" cm="1">
        <f t="array" ref="AD13">IF(OR(Q13:S13="Std"),"Std",IF(OR(Q13:S13="Opt1",Q13:S13="Opt2"),"Opt","N/A"))</f>
        <v>Opt</v>
      </c>
      <c r="AE13" s="217" t="str">
        <f t="array" ref="AE13">IF(OR(T13:X13="Std"),"Std",IF(OR(T13:X13="Opt1",T13:X13="Opt2"),"Opt","N/A"))</f>
        <v>Std</v>
      </c>
      <c r="AF13" s="217" t="str">
        <f t="array" ref="AF13">IF(OR(Y13:Z13="Std"),"Std",IF(OR(Y13:Z13="Opt1",Y13:Z13="Opt2"),"Opt","N/A"))</f>
        <v>Std</v>
      </c>
    </row>
    <row r="14" spans="1:32">
      <c r="A14" s="175"/>
      <c r="B14" s="296" t="s">
        <v>409</v>
      </c>
      <c r="C14" s="208" t="s">
        <v>410</v>
      </c>
      <c r="D14" s="202" t="s">
        <v>392</v>
      </c>
      <c r="E14" s="203" t="s">
        <v>392</v>
      </c>
      <c r="F14" s="202" t="s">
        <v>392</v>
      </c>
      <c r="G14" s="205" t="s">
        <v>394</v>
      </c>
      <c r="H14" s="203" t="s">
        <v>394</v>
      </c>
      <c r="I14" s="202" t="s">
        <v>392</v>
      </c>
      <c r="J14" s="205" t="s">
        <v>392</v>
      </c>
      <c r="K14" s="203" t="s">
        <v>392</v>
      </c>
      <c r="L14" s="202" t="s">
        <v>394</v>
      </c>
      <c r="M14" s="203" t="s">
        <v>394</v>
      </c>
      <c r="N14" s="202" t="s">
        <v>444</v>
      </c>
      <c r="O14" s="205" t="s">
        <v>444</v>
      </c>
      <c r="P14" s="203" t="s">
        <v>394</v>
      </c>
      <c r="Q14" s="202" t="s">
        <v>394</v>
      </c>
      <c r="R14" s="205" t="s">
        <v>444</v>
      </c>
      <c r="S14" s="203" t="s">
        <v>444</v>
      </c>
      <c r="T14" s="202" t="s">
        <v>444</v>
      </c>
      <c r="U14" s="205" t="s">
        <v>394</v>
      </c>
      <c r="V14" s="205" t="s">
        <v>392</v>
      </c>
      <c r="W14" s="205" t="s">
        <v>392</v>
      </c>
      <c r="X14" s="203" t="s">
        <v>392</v>
      </c>
      <c r="Y14" s="202" t="s">
        <v>392</v>
      </c>
      <c r="Z14" s="203" t="s">
        <v>444</v>
      </c>
      <c r="AA14" s="204" t="s">
        <v>394</v>
      </c>
      <c r="AB14" s="203" t="s">
        <v>394</v>
      </c>
      <c r="AC14" s="209"/>
      <c r="AD14" s="217" t="str" cm="1">
        <f t="array" ref="AD14">IF(OR(Q14:S14="Std"),"Std",IF(OR(Q14:S14="Opt1",Q14:S14="Opt2"),"Opt","N/A"))</f>
        <v>Opt</v>
      </c>
      <c r="AE14" s="217" t="str">
        <f t="array" ref="AE14">IF(OR(T14:X14="Std"),"Std",IF(OR(T14:X14="Opt1",T14:X14="Opt2"),"Opt","N/A"))</f>
        <v>Std</v>
      </c>
      <c r="AF14" s="217" t="str">
        <f t="array" ref="AF14">IF(OR(Y14:Z14="Std"),"Std",IF(OR(Y14:Z14="Opt1",Y14:Z14="Opt2"),"Opt","N/A"))</f>
        <v>Std</v>
      </c>
    </row>
    <row r="15" spans="1:32">
      <c r="A15" s="175"/>
      <c r="B15" s="296" t="s">
        <v>181</v>
      </c>
      <c r="C15" s="208" t="s">
        <v>411</v>
      </c>
      <c r="D15" s="202" t="s">
        <v>392</v>
      </c>
      <c r="E15" s="203" t="s">
        <v>392</v>
      </c>
      <c r="F15" s="202" t="s">
        <v>392</v>
      </c>
      <c r="G15" s="205" t="s">
        <v>394</v>
      </c>
      <c r="H15" s="203" t="s">
        <v>394</v>
      </c>
      <c r="I15" s="202" t="s">
        <v>392</v>
      </c>
      <c r="J15" s="205" t="s">
        <v>392</v>
      </c>
      <c r="K15" s="203" t="s">
        <v>392</v>
      </c>
      <c r="L15" s="202" t="s">
        <v>394</v>
      </c>
      <c r="M15" s="203" t="s">
        <v>394</v>
      </c>
      <c r="N15" s="202" t="s">
        <v>394</v>
      </c>
      <c r="O15" s="205" t="s">
        <v>394</v>
      </c>
      <c r="P15" s="203" t="s">
        <v>394</v>
      </c>
      <c r="Q15" s="202" t="s">
        <v>394</v>
      </c>
      <c r="R15" s="205" t="s">
        <v>394</v>
      </c>
      <c r="S15" s="203" t="s">
        <v>444</v>
      </c>
      <c r="T15" s="202" t="s">
        <v>394</v>
      </c>
      <c r="U15" s="205" t="s">
        <v>394</v>
      </c>
      <c r="V15" s="205" t="s">
        <v>392</v>
      </c>
      <c r="W15" s="205" t="s">
        <v>392</v>
      </c>
      <c r="X15" s="203" t="s">
        <v>392</v>
      </c>
      <c r="Y15" s="202" t="s">
        <v>392</v>
      </c>
      <c r="Z15" s="203" t="s">
        <v>394</v>
      </c>
      <c r="AA15" s="204" t="s">
        <v>394</v>
      </c>
      <c r="AB15" s="203" t="s">
        <v>394</v>
      </c>
      <c r="AC15" s="209"/>
      <c r="AD15" s="217" t="str" cm="1">
        <f t="array" ref="AD15">IF(OR(Q15:S15="Std"),"Std",IF(OR(Q15:S15="Opt1",Q15:S15="Opt2"),"Opt","N/A"))</f>
        <v>Opt</v>
      </c>
      <c r="AE15" s="217" t="str">
        <f t="array" ref="AE15">IF(OR(T15:X15="Std"),"Std",IF(OR(T15:X15="Opt1",T15:X15="Opt2"),"Opt","N/A"))</f>
        <v>Std</v>
      </c>
      <c r="AF15" s="217" t="str">
        <f t="array" ref="AF15">IF(OR(Y15:Z15="Std"),"Std",IF(OR(Y15:Z15="Opt1",Y15:Z15="Opt2"),"Opt","N/A"))</f>
        <v>Std</v>
      </c>
    </row>
    <row r="16" spans="1:32">
      <c r="A16" s="175"/>
      <c r="B16" s="296" t="s">
        <v>180</v>
      </c>
      <c r="C16" s="208" t="s">
        <v>412</v>
      </c>
      <c r="D16" s="202" t="s">
        <v>392</v>
      </c>
      <c r="E16" s="203" t="s">
        <v>392</v>
      </c>
      <c r="F16" s="202" t="s">
        <v>392</v>
      </c>
      <c r="G16" s="205" t="s">
        <v>394</v>
      </c>
      <c r="H16" s="203" t="s">
        <v>394</v>
      </c>
      <c r="I16" s="202" t="s">
        <v>392</v>
      </c>
      <c r="J16" s="205" t="s">
        <v>392</v>
      </c>
      <c r="K16" s="203" t="s">
        <v>392</v>
      </c>
      <c r="L16" s="202" t="s">
        <v>394</v>
      </c>
      <c r="M16" s="203" t="s">
        <v>394</v>
      </c>
      <c r="N16" s="202" t="s">
        <v>444</v>
      </c>
      <c r="O16" s="205" t="s">
        <v>444</v>
      </c>
      <c r="P16" s="203" t="s">
        <v>394</v>
      </c>
      <c r="Q16" s="202" t="s">
        <v>394</v>
      </c>
      <c r="R16" s="205" t="s">
        <v>394</v>
      </c>
      <c r="S16" s="203" t="s">
        <v>444</v>
      </c>
      <c r="T16" s="202" t="s">
        <v>394</v>
      </c>
      <c r="U16" s="205" t="s">
        <v>394</v>
      </c>
      <c r="V16" s="205" t="s">
        <v>392</v>
      </c>
      <c r="W16" s="205" t="s">
        <v>392</v>
      </c>
      <c r="X16" s="203" t="s">
        <v>392</v>
      </c>
      <c r="Y16" s="202" t="s">
        <v>392</v>
      </c>
      <c r="Z16" s="203" t="s">
        <v>394</v>
      </c>
      <c r="AA16" s="204" t="s">
        <v>394</v>
      </c>
      <c r="AB16" s="203" t="s">
        <v>394</v>
      </c>
      <c r="AC16" s="209"/>
      <c r="AD16" s="217" t="str" cm="1">
        <f t="array" ref="AD16">IF(OR(Q16:S16="Std"),"Std",IF(OR(Q16:S16="Opt1",Q16:S16="Opt2"),"Opt","N/A"))</f>
        <v>Opt</v>
      </c>
      <c r="AE16" s="217" t="str">
        <f t="array" ref="AE16">IF(OR(T16:X16="Std"),"Std",IF(OR(T16:X16="Opt1",T16:X16="Opt2"),"Opt","N/A"))</f>
        <v>Std</v>
      </c>
      <c r="AF16" s="217" t="str">
        <f t="array" ref="AF16">IF(OR(Y16:Z16="Std"),"Std",IF(OR(Y16:Z16="Opt1",Y16:Z16="Opt2"),"Opt","N/A"))</f>
        <v>Std</v>
      </c>
    </row>
    <row r="17" spans="1:32">
      <c r="A17" s="175"/>
      <c r="B17" s="296" t="s">
        <v>413</v>
      </c>
      <c r="C17" s="208" t="s">
        <v>414</v>
      </c>
      <c r="D17" s="202" t="s">
        <v>392</v>
      </c>
      <c r="E17" s="203" t="s">
        <v>392</v>
      </c>
      <c r="F17" s="202" t="s">
        <v>392</v>
      </c>
      <c r="G17" s="205" t="s">
        <v>394</v>
      </c>
      <c r="H17" s="203" t="s">
        <v>394</v>
      </c>
      <c r="I17" s="202" t="s">
        <v>392</v>
      </c>
      <c r="J17" s="205" t="s">
        <v>392</v>
      </c>
      <c r="K17" s="203" t="s">
        <v>392</v>
      </c>
      <c r="L17" s="202" t="s">
        <v>394</v>
      </c>
      <c r="M17" s="203" t="s">
        <v>394</v>
      </c>
      <c r="N17" s="202" t="s">
        <v>394</v>
      </c>
      <c r="O17" s="205" t="s">
        <v>394</v>
      </c>
      <c r="P17" s="203" t="s">
        <v>394</v>
      </c>
      <c r="Q17" s="202" t="s">
        <v>394</v>
      </c>
      <c r="R17" s="205" t="s">
        <v>394</v>
      </c>
      <c r="S17" s="203" t="s">
        <v>394</v>
      </c>
      <c r="T17" s="202" t="s">
        <v>394</v>
      </c>
      <c r="U17" s="205" t="s">
        <v>394</v>
      </c>
      <c r="V17" s="205" t="s">
        <v>392</v>
      </c>
      <c r="W17" s="205" t="s">
        <v>392</v>
      </c>
      <c r="X17" s="203" t="s">
        <v>392</v>
      </c>
      <c r="Y17" s="202" t="s">
        <v>392</v>
      </c>
      <c r="Z17" s="203" t="s">
        <v>394</v>
      </c>
      <c r="AA17" s="204" t="s">
        <v>394</v>
      </c>
      <c r="AB17" s="203" t="s">
        <v>394</v>
      </c>
      <c r="AC17" s="210"/>
      <c r="AD17" s="217" t="str" cm="1">
        <f t="array" ref="AD17">IF(OR(Q17:S17="Std"),"Std",IF(OR(Q17:S17="Opt1",Q17:S17="Opt2"),"Opt","N/A"))</f>
        <v>N/A</v>
      </c>
      <c r="AE17" s="217" t="str">
        <f t="array" ref="AE17">IF(OR(T17:X17="Std"),"Std",IF(OR(T17:X17="Opt1",T17:X17="Opt2"),"Opt","N/A"))</f>
        <v>Std</v>
      </c>
      <c r="AF17" s="217" t="str">
        <f t="array" ref="AF17">IF(OR(Y17:Z17="Std"),"Std",IF(OR(Y17:Z17="Opt1",Y17:Z17="Opt2"),"Opt","N/A"))</f>
        <v>Std</v>
      </c>
    </row>
    <row r="18" spans="1:32">
      <c r="A18" s="175"/>
      <c r="B18" s="296" t="s">
        <v>415</v>
      </c>
      <c r="C18" s="208" t="s">
        <v>416</v>
      </c>
      <c r="D18" s="202" t="s">
        <v>392</v>
      </c>
      <c r="E18" s="203" t="s">
        <v>392</v>
      </c>
      <c r="F18" s="202" t="s">
        <v>392</v>
      </c>
      <c r="G18" s="205" t="s">
        <v>394</v>
      </c>
      <c r="H18" s="203" t="s">
        <v>394</v>
      </c>
      <c r="I18" s="202" t="s">
        <v>392</v>
      </c>
      <c r="J18" s="205" t="s">
        <v>392</v>
      </c>
      <c r="K18" s="203" t="s">
        <v>392</v>
      </c>
      <c r="L18" s="202" t="s">
        <v>394</v>
      </c>
      <c r="M18" s="203" t="s">
        <v>394</v>
      </c>
      <c r="N18" s="202" t="s">
        <v>444</v>
      </c>
      <c r="O18" s="205" t="s">
        <v>444</v>
      </c>
      <c r="P18" s="203" t="s">
        <v>394</v>
      </c>
      <c r="Q18" s="202" t="s">
        <v>394</v>
      </c>
      <c r="R18" s="205" t="s">
        <v>444</v>
      </c>
      <c r="S18" s="203" t="s">
        <v>444</v>
      </c>
      <c r="T18" s="202" t="s">
        <v>444</v>
      </c>
      <c r="U18" s="205" t="s">
        <v>394</v>
      </c>
      <c r="V18" s="205" t="s">
        <v>392</v>
      </c>
      <c r="W18" s="205" t="s">
        <v>392</v>
      </c>
      <c r="X18" s="203" t="s">
        <v>392</v>
      </c>
      <c r="Y18" s="202" t="s">
        <v>392</v>
      </c>
      <c r="Z18" s="203" t="s">
        <v>444</v>
      </c>
      <c r="AA18" s="204" t="s">
        <v>394</v>
      </c>
      <c r="AB18" s="203" t="s">
        <v>394</v>
      </c>
      <c r="AC18" s="210"/>
      <c r="AD18" s="217" t="str" cm="1">
        <f t="array" ref="AD18">IF(OR(Q18:S18="Std"),"Std",IF(OR(Q18:S18="Opt1",Q18:S18="Opt2"),"Opt","N/A"))</f>
        <v>Opt</v>
      </c>
      <c r="AE18" s="217" t="str">
        <f t="array" ref="AE18">IF(OR(T18:X18="Std"),"Std",IF(OR(T18:X18="Opt1",T18:X18="Opt2"),"Opt","N/A"))</f>
        <v>Std</v>
      </c>
      <c r="AF18" s="217" t="str">
        <f t="array" ref="AF18">IF(OR(Y18:Z18="Std"),"Std",IF(OR(Y18:Z18="Opt1",Y18:Z18="Opt2"),"Opt","N/A"))</f>
        <v>Std</v>
      </c>
    </row>
    <row r="19" spans="1:32">
      <c r="A19" s="175"/>
      <c r="B19" s="296" t="s">
        <v>417</v>
      </c>
      <c r="C19" s="208" t="s">
        <v>418</v>
      </c>
      <c r="D19" s="202" t="s">
        <v>392</v>
      </c>
      <c r="E19" s="203" t="s">
        <v>392</v>
      </c>
      <c r="F19" s="202" t="s">
        <v>392</v>
      </c>
      <c r="G19" s="205" t="s">
        <v>394</v>
      </c>
      <c r="H19" s="203" t="s">
        <v>394</v>
      </c>
      <c r="I19" s="202" t="s">
        <v>392</v>
      </c>
      <c r="J19" s="205" t="s">
        <v>392</v>
      </c>
      <c r="K19" s="203" t="s">
        <v>392</v>
      </c>
      <c r="L19" s="202" t="s">
        <v>394</v>
      </c>
      <c r="M19" s="203" t="s">
        <v>394</v>
      </c>
      <c r="N19" s="202" t="s">
        <v>394</v>
      </c>
      <c r="O19" s="205" t="s">
        <v>394</v>
      </c>
      <c r="P19" s="203" t="s">
        <v>394</v>
      </c>
      <c r="Q19" s="202" t="s">
        <v>394</v>
      </c>
      <c r="R19" s="205" t="s">
        <v>394</v>
      </c>
      <c r="S19" s="203" t="s">
        <v>394</v>
      </c>
      <c r="T19" s="202" t="s">
        <v>394</v>
      </c>
      <c r="U19" s="205" t="s">
        <v>394</v>
      </c>
      <c r="V19" s="205" t="s">
        <v>392</v>
      </c>
      <c r="W19" s="205" t="s">
        <v>392</v>
      </c>
      <c r="X19" s="203" t="s">
        <v>392</v>
      </c>
      <c r="Y19" s="202" t="s">
        <v>392</v>
      </c>
      <c r="Z19" s="203" t="s">
        <v>394</v>
      </c>
      <c r="AA19" s="204" t="s">
        <v>394</v>
      </c>
      <c r="AB19" s="203" t="s">
        <v>394</v>
      </c>
      <c r="AC19" s="210"/>
      <c r="AD19" s="217" t="str" cm="1">
        <f t="array" ref="AD19">IF(OR(Q19:S19="Std"),"Std",IF(OR(Q19:S19="Opt1",Q19:S19="Opt2"),"Opt","N/A"))</f>
        <v>N/A</v>
      </c>
      <c r="AE19" s="217" t="str">
        <f t="array" ref="AE19">IF(OR(T19:X19="Std"),"Std",IF(OR(T19:X19="Opt1",T19:X19="Opt2"),"Opt","N/A"))</f>
        <v>Std</v>
      </c>
      <c r="AF19" s="217" t="str">
        <f t="array" ref="AF19">IF(OR(Y19:Z19="Std"),"Std",IF(OR(Y19:Z19="Opt1",Y19:Z19="Opt2"),"Opt","N/A"))</f>
        <v>Std</v>
      </c>
    </row>
    <row r="20" spans="1:32">
      <c r="A20" s="175"/>
      <c r="B20" s="297" t="s">
        <v>182</v>
      </c>
      <c r="C20" s="211" t="s">
        <v>419</v>
      </c>
      <c r="D20" s="202" t="s">
        <v>392</v>
      </c>
      <c r="E20" s="203" t="s">
        <v>392</v>
      </c>
      <c r="F20" s="202" t="s">
        <v>392</v>
      </c>
      <c r="G20" s="205" t="s">
        <v>394</v>
      </c>
      <c r="H20" s="203" t="s">
        <v>394</v>
      </c>
      <c r="I20" s="202" t="s">
        <v>392</v>
      </c>
      <c r="J20" s="205" t="s">
        <v>392</v>
      </c>
      <c r="K20" s="203" t="s">
        <v>392</v>
      </c>
      <c r="L20" s="202" t="s">
        <v>394</v>
      </c>
      <c r="M20" s="203" t="s">
        <v>394</v>
      </c>
      <c r="N20" s="202" t="s">
        <v>444</v>
      </c>
      <c r="O20" s="205" t="s">
        <v>444</v>
      </c>
      <c r="P20" s="203" t="s">
        <v>394</v>
      </c>
      <c r="Q20" s="202" t="s">
        <v>394</v>
      </c>
      <c r="R20" s="205" t="s">
        <v>444</v>
      </c>
      <c r="S20" s="203" t="s">
        <v>444</v>
      </c>
      <c r="T20" s="202" t="s">
        <v>444</v>
      </c>
      <c r="U20" s="205" t="s">
        <v>394</v>
      </c>
      <c r="V20" s="205" t="s">
        <v>392</v>
      </c>
      <c r="W20" s="205" t="s">
        <v>392</v>
      </c>
      <c r="X20" s="203" t="s">
        <v>392</v>
      </c>
      <c r="Y20" s="202" t="s">
        <v>392</v>
      </c>
      <c r="Z20" s="203" t="s">
        <v>444</v>
      </c>
      <c r="AA20" s="204" t="s">
        <v>394</v>
      </c>
      <c r="AB20" s="203" t="s">
        <v>394</v>
      </c>
      <c r="AC20" s="212"/>
      <c r="AD20" s="217" t="str" cm="1">
        <f t="array" ref="AD20">IF(OR(Q20:S20="Std"),"Std",IF(OR(Q20:S20="Opt1",Q20:S20="Opt2"),"Opt","N/A"))</f>
        <v>Opt</v>
      </c>
      <c r="AE20" s="217" t="str">
        <f t="array" ref="AE20">IF(OR(T20:X20="Std"),"Std",IF(OR(T20:X20="Opt1",T20:X20="Opt2"),"Opt","N/A"))</f>
        <v>Std</v>
      </c>
      <c r="AF20" s="217" t="str">
        <f t="array" ref="AF20">IF(OR(Y20:Z20="Std"),"Std",IF(OR(Y20:Z20="Opt1",Y20:Z20="Opt2"),"Opt","N/A"))</f>
        <v>Std</v>
      </c>
    </row>
    <row r="21" spans="1:32">
      <c r="A21" s="175"/>
      <c r="B21" s="296" t="s">
        <v>420</v>
      </c>
      <c r="C21" s="208" t="s">
        <v>421</v>
      </c>
      <c r="D21" s="202" t="s">
        <v>392</v>
      </c>
      <c r="E21" s="203" t="s">
        <v>392</v>
      </c>
      <c r="F21" s="202" t="s">
        <v>392</v>
      </c>
      <c r="G21" s="205" t="s">
        <v>394</v>
      </c>
      <c r="H21" s="203" t="s">
        <v>394</v>
      </c>
      <c r="I21" s="202" t="s">
        <v>392</v>
      </c>
      <c r="J21" s="205" t="s">
        <v>392</v>
      </c>
      <c r="K21" s="203" t="s">
        <v>392</v>
      </c>
      <c r="L21" s="202" t="s">
        <v>394</v>
      </c>
      <c r="M21" s="203" t="s">
        <v>394</v>
      </c>
      <c r="N21" s="202" t="s">
        <v>394</v>
      </c>
      <c r="O21" s="205" t="s">
        <v>394</v>
      </c>
      <c r="P21" s="203" t="s">
        <v>394</v>
      </c>
      <c r="Q21" s="202" t="s">
        <v>394</v>
      </c>
      <c r="R21" s="205" t="s">
        <v>394</v>
      </c>
      <c r="S21" s="203" t="s">
        <v>444</v>
      </c>
      <c r="T21" s="202" t="s">
        <v>394</v>
      </c>
      <c r="U21" s="205" t="s">
        <v>394</v>
      </c>
      <c r="V21" s="205" t="s">
        <v>392</v>
      </c>
      <c r="W21" s="205" t="s">
        <v>392</v>
      </c>
      <c r="X21" s="203" t="s">
        <v>392</v>
      </c>
      <c r="Y21" s="202" t="s">
        <v>392</v>
      </c>
      <c r="Z21" s="203" t="s">
        <v>444</v>
      </c>
      <c r="AA21" s="204" t="s">
        <v>394</v>
      </c>
      <c r="AB21" s="203" t="s">
        <v>394</v>
      </c>
      <c r="AC21" s="210"/>
      <c r="AD21" s="217" t="str" cm="1">
        <f t="array" ref="AD21">IF(OR(Q21:S21="Std"),"Std",IF(OR(Q21:S21="Opt1",Q21:S21="Opt2"),"Opt","N/A"))</f>
        <v>Opt</v>
      </c>
      <c r="AE21" s="217" t="str">
        <f t="array" ref="AE21">IF(OR(T21:X21="Std"),"Std",IF(OR(T21:X21="Opt1",T21:X21="Opt2"),"Opt","N/A"))</f>
        <v>Std</v>
      </c>
      <c r="AF21" s="217" t="str">
        <f t="array" ref="AF21">IF(OR(Y21:Z21="Std"),"Std",IF(OR(Y21:Z21="Opt1",Y21:Z21="Opt2"),"Opt","N/A"))</f>
        <v>Std</v>
      </c>
    </row>
    <row r="22" spans="1:32">
      <c r="A22" s="175"/>
      <c r="B22" s="296" t="s">
        <v>422</v>
      </c>
      <c r="C22" s="208" t="s">
        <v>423</v>
      </c>
      <c r="D22" s="202" t="s">
        <v>392</v>
      </c>
      <c r="E22" s="203" t="s">
        <v>392</v>
      </c>
      <c r="F22" s="202" t="s">
        <v>392</v>
      </c>
      <c r="G22" s="205" t="s">
        <v>394</v>
      </c>
      <c r="H22" s="203" t="s">
        <v>394</v>
      </c>
      <c r="I22" s="202" t="s">
        <v>392</v>
      </c>
      <c r="J22" s="205" t="s">
        <v>392</v>
      </c>
      <c r="K22" s="203" t="s">
        <v>392</v>
      </c>
      <c r="L22" s="202" t="s">
        <v>394</v>
      </c>
      <c r="M22" s="203" t="s">
        <v>394</v>
      </c>
      <c r="N22" s="202" t="s">
        <v>444</v>
      </c>
      <c r="O22" s="205" t="s">
        <v>444</v>
      </c>
      <c r="P22" s="203" t="s">
        <v>394</v>
      </c>
      <c r="Q22" s="202" t="s">
        <v>394</v>
      </c>
      <c r="R22" s="205" t="s">
        <v>444</v>
      </c>
      <c r="S22" s="203" t="s">
        <v>444</v>
      </c>
      <c r="T22" s="202" t="s">
        <v>444</v>
      </c>
      <c r="U22" s="205" t="s">
        <v>394</v>
      </c>
      <c r="V22" s="205" t="s">
        <v>392</v>
      </c>
      <c r="W22" s="205" t="s">
        <v>392</v>
      </c>
      <c r="X22" s="203" t="s">
        <v>392</v>
      </c>
      <c r="Y22" s="202" t="s">
        <v>392</v>
      </c>
      <c r="Z22" s="203" t="s">
        <v>444</v>
      </c>
      <c r="AA22" s="204" t="s">
        <v>394</v>
      </c>
      <c r="AB22" s="203" t="s">
        <v>394</v>
      </c>
      <c r="AC22" s="210"/>
      <c r="AD22" s="217" t="str" cm="1">
        <f t="array" ref="AD22">IF(OR(Q22:S22="Std"),"Std",IF(OR(Q22:S22="Opt1",Q22:S22="Opt2"),"Opt","N/A"))</f>
        <v>Opt</v>
      </c>
      <c r="AE22" s="217" t="str">
        <f t="array" ref="AE22">IF(OR(T22:X22="Std"),"Std",IF(OR(T22:X22="Opt1",T22:X22="Opt2"),"Opt","N/A"))</f>
        <v>Std</v>
      </c>
      <c r="AF22" s="217" t="str">
        <f t="array" ref="AF22">IF(OR(Y22:Z22="Std"),"Std",IF(OR(Y22:Z22="Opt1",Y22:Z22="Opt2"),"Opt","N/A"))</f>
        <v>Std</v>
      </c>
    </row>
    <row r="23" spans="1:32">
      <c r="A23" s="175"/>
      <c r="B23" s="296" t="s">
        <v>186</v>
      </c>
      <c r="C23" s="208" t="s">
        <v>424</v>
      </c>
      <c r="D23" s="202" t="s">
        <v>392</v>
      </c>
      <c r="E23" s="203" t="s">
        <v>392</v>
      </c>
      <c r="F23" s="202" t="s">
        <v>392</v>
      </c>
      <c r="G23" s="205" t="s">
        <v>394</v>
      </c>
      <c r="H23" s="203" t="s">
        <v>394</v>
      </c>
      <c r="I23" s="202" t="s">
        <v>392</v>
      </c>
      <c r="J23" s="205" t="s">
        <v>392</v>
      </c>
      <c r="K23" s="203" t="s">
        <v>392</v>
      </c>
      <c r="L23" s="202" t="s">
        <v>394</v>
      </c>
      <c r="M23" s="203" t="s">
        <v>394</v>
      </c>
      <c r="N23" s="202" t="s">
        <v>444</v>
      </c>
      <c r="O23" s="205" t="s">
        <v>444</v>
      </c>
      <c r="P23" s="203" t="s">
        <v>394</v>
      </c>
      <c r="Q23" s="202" t="s">
        <v>394</v>
      </c>
      <c r="R23" s="205" t="s">
        <v>444</v>
      </c>
      <c r="S23" s="203" t="s">
        <v>444</v>
      </c>
      <c r="T23" s="202" t="s">
        <v>444</v>
      </c>
      <c r="U23" s="205" t="s">
        <v>394</v>
      </c>
      <c r="V23" s="205" t="s">
        <v>392</v>
      </c>
      <c r="W23" s="205" t="s">
        <v>392</v>
      </c>
      <c r="X23" s="203" t="s">
        <v>392</v>
      </c>
      <c r="Y23" s="202" t="s">
        <v>392</v>
      </c>
      <c r="Z23" s="203" t="s">
        <v>444</v>
      </c>
      <c r="AA23" s="204" t="s">
        <v>394</v>
      </c>
      <c r="AB23" s="203" t="s">
        <v>394</v>
      </c>
      <c r="AC23" s="210"/>
      <c r="AD23" s="217" t="str" cm="1">
        <f t="array" ref="AD23">IF(OR(Q23:S23="Std"),"Std",IF(OR(Q23:S23="Opt1",Q23:S23="Opt2"),"Opt","N/A"))</f>
        <v>Opt</v>
      </c>
      <c r="AE23" s="217" t="str">
        <f t="array" ref="AE23">IF(OR(T23:X23="Std"),"Std",IF(OR(T23:X23="Opt1",T23:X23="Opt2"),"Opt","N/A"))</f>
        <v>Std</v>
      </c>
      <c r="AF23" s="217" t="str">
        <f t="array" ref="AF23">IF(OR(Y23:Z23="Std"),"Std",IF(OR(Y23:Z23="Opt1",Y23:Z23="Opt2"),"Opt","N/A"))</f>
        <v>Std</v>
      </c>
    </row>
    <row r="24" spans="1:32">
      <c r="A24" s="213"/>
      <c r="B24" s="296" t="s">
        <v>425</v>
      </c>
      <c r="C24" s="208" t="s">
        <v>426</v>
      </c>
      <c r="D24" s="202" t="s">
        <v>392</v>
      </c>
      <c r="E24" s="203" t="s">
        <v>392</v>
      </c>
      <c r="F24" s="202" t="s">
        <v>392</v>
      </c>
      <c r="G24" s="205" t="s">
        <v>394</v>
      </c>
      <c r="H24" s="203" t="s">
        <v>394</v>
      </c>
      <c r="I24" s="202" t="s">
        <v>392</v>
      </c>
      <c r="J24" s="205" t="s">
        <v>392</v>
      </c>
      <c r="K24" s="203" t="s">
        <v>392</v>
      </c>
      <c r="L24" s="202" t="s">
        <v>394</v>
      </c>
      <c r="M24" s="203" t="s">
        <v>394</v>
      </c>
      <c r="N24" s="202" t="s">
        <v>394</v>
      </c>
      <c r="O24" s="205" t="s">
        <v>394</v>
      </c>
      <c r="P24" s="203" t="s">
        <v>394</v>
      </c>
      <c r="Q24" s="202" t="s">
        <v>394</v>
      </c>
      <c r="R24" s="205" t="s">
        <v>394</v>
      </c>
      <c r="S24" s="203" t="s">
        <v>394</v>
      </c>
      <c r="T24" s="202" t="s">
        <v>394</v>
      </c>
      <c r="U24" s="205" t="s">
        <v>394</v>
      </c>
      <c r="V24" s="205" t="s">
        <v>392</v>
      </c>
      <c r="W24" s="205" t="s">
        <v>392</v>
      </c>
      <c r="X24" s="203" t="s">
        <v>392</v>
      </c>
      <c r="Y24" s="202" t="s">
        <v>392</v>
      </c>
      <c r="Z24" s="203" t="s">
        <v>394</v>
      </c>
      <c r="AA24" s="204" t="s">
        <v>394</v>
      </c>
      <c r="AB24" s="203" t="s">
        <v>394</v>
      </c>
      <c r="AC24" s="210"/>
      <c r="AD24" s="217" t="str" cm="1">
        <f t="array" ref="AD24">IF(OR(Q24:S24="Std"),"Std",IF(OR(Q24:S24="Opt1",Q24:S24="Opt2"),"Opt","N/A"))</f>
        <v>N/A</v>
      </c>
      <c r="AE24" s="217" t="str">
        <f t="array" ref="AE24">IF(OR(T24:X24="Std"),"Std",IF(OR(T24:X24="Opt1",T24:X24="Opt2"),"Opt","N/A"))</f>
        <v>Std</v>
      </c>
      <c r="AF24" s="217" t="str">
        <f t="array" ref="AF24">IF(OR(Y24:Z24="Std"),"Std",IF(OR(Y24:Z24="Opt1",Y24:Z24="Opt2"),"Opt","N/A"))</f>
        <v>Std</v>
      </c>
    </row>
    <row r="25" spans="1:32">
      <c r="A25" s="213"/>
      <c r="B25" s="296" t="s">
        <v>427</v>
      </c>
      <c r="C25" s="208" t="s">
        <v>428</v>
      </c>
      <c r="D25" s="202" t="s">
        <v>392</v>
      </c>
      <c r="E25" s="203" t="s">
        <v>392</v>
      </c>
      <c r="F25" s="202" t="s">
        <v>392</v>
      </c>
      <c r="G25" s="205" t="s">
        <v>394</v>
      </c>
      <c r="H25" s="203" t="s">
        <v>394</v>
      </c>
      <c r="I25" s="202" t="s">
        <v>392</v>
      </c>
      <c r="J25" s="205" t="s">
        <v>392</v>
      </c>
      <c r="K25" s="203" t="s">
        <v>392</v>
      </c>
      <c r="L25" s="202" t="s">
        <v>394</v>
      </c>
      <c r="M25" s="203" t="s">
        <v>394</v>
      </c>
      <c r="N25" s="202" t="s">
        <v>394</v>
      </c>
      <c r="O25" s="205" t="s">
        <v>394</v>
      </c>
      <c r="P25" s="203" t="s">
        <v>394</v>
      </c>
      <c r="Q25" s="202" t="s">
        <v>394</v>
      </c>
      <c r="R25" s="205" t="s">
        <v>394</v>
      </c>
      <c r="S25" s="203" t="s">
        <v>394</v>
      </c>
      <c r="T25" s="202" t="s">
        <v>394</v>
      </c>
      <c r="U25" s="205" t="s">
        <v>394</v>
      </c>
      <c r="V25" s="205" t="s">
        <v>392</v>
      </c>
      <c r="W25" s="205" t="s">
        <v>392</v>
      </c>
      <c r="X25" s="203" t="s">
        <v>392</v>
      </c>
      <c r="Y25" s="202" t="s">
        <v>392</v>
      </c>
      <c r="Z25" s="203" t="s">
        <v>394</v>
      </c>
      <c r="AA25" s="204" t="s">
        <v>394</v>
      </c>
      <c r="AB25" s="203" t="s">
        <v>394</v>
      </c>
      <c r="AC25" s="210"/>
      <c r="AD25" s="217" t="str" cm="1">
        <f t="array" ref="AD25">IF(OR(Q25:S25="Std"),"Std",IF(OR(Q25:S25="Opt1",Q25:S25="Opt2"),"Opt","N/A"))</f>
        <v>N/A</v>
      </c>
      <c r="AE25" s="217" t="str">
        <f t="array" ref="AE25">IF(OR(T25:X25="Std"),"Std",IF(OR(T25:X25="Opt1",T25:X25="Opt2"),"Opt","N/A"))</f>
        <v>Std</v>
      </c>
      <c r="AF25" s="217" t="str">
        <f t="array" ref="AF25">IF(OR(Y25:Z25="Std"),"Std",IF(OR(Y25:Z25="Opt1",Y25:Z25="Opt2"),"Opt","N/A"))</f>
        <v>Std</v>
      </c>
    </row>
    <row r="26" spans="1:32">
      <c r="A26" s="213"/>
      <c r="B26" s="296" t="s">
        <v>825</v>
      </c>
      <c r="C26" s="208" t="s">
        <v>205</v>
      </c>
      <c r="D26" s="202" t="s">
        <v>392</v>
      </c>
      <c r="E26" s="203" t="s">
        <v>392</v>
      </c>
      <c r="F26" s="202" t="s">
        <v>392</v>
      </c>
      <c r="G26" s="205" t="s">
        <v>394</v>
      </c>
      <c r="H26" s="203" t="s">
        <v>394</v>
      </c>
      <c r="I26" s="202" t="s">
        <v>392</v>
      </c>
      <c r="J26" s="205" t="s">
        <v>392</v>
      </c>
      <c r="K26" s="203" t="s">
        <v>392</v>
      </c>
      <c r="L26" s="202" t="s">
        <v>394</v>
      </c>
      <c r="M26" s="203" t="s">
        <v>394</v>
      </c>
      <c r="N26" s="202" t="s">
        <v>444</v>
      </c>
      <c r="O26" s="205" t="s">
        <v>444</v>
      </c>
      <c r="P26" s="203" t="s">
        <v>394</v>
      </c>
      <c r="Q26" s="202" t="s">
        <v>394</v>
      </c>
      <c r="R26" s="205" t="s">
        <v>444</v>
      </c>
      <c r="S26" s="203" t="s">
        <v>444</v>
      </c>
      <c r="T26" s="202" t="s">
        <v>444</v>
      </c>
      <c r="U26" s="205" t="s">
        <v>394</v>
      </c>
      <c r="V26" s="205" t="s">
        <v>392</v>
      </c>
      <c r="W26" s="205" t="s">
        <v>392</v>
      </c>
      <c r="X26" s="203" t="s">
        <v>392</v>
      </c>
      <c r="Y26" s="202" t="s">
        <v>392</v>
      </c>
      <c r="Z26" s="203" t="s">
        <v>444</v>
      </c>
      <c r="AA26" s="204" t="s">
        <v>394</v>
      </c>
      <c r="AB26" s="203" t="s">
        <v>394</v>
      </c>
      <c r="AC26" s="210"/>
      <c r="AD26" s="217" t="str" cm="1">
        <f t="array" ref="AD26">IF(OR(Q26:S26="Std"),"Std",IF(OR(Q26:S26="Opt1",Q26:S26="Opt2"),"Opt","N/A"))</f>
        <v>Opt</v>
      </c>
      <c r="AE26" s="217" t="str">
        <f t="array" ref="AE26">IF(OR(T26:X26="Std"),"Std",IF(OR(T26:X26="Opt1",T26:X26="Opt2"),"Opt","N/A"))</f>
        <v>Std</v>
      </c>
      <c r="AF26" s="217" t="str">
        <f t="array" ref="AF26">IF(OR(Y26:Z26="Std"),"Std",IF(OR(Y26:Z26="Opt1",Y26:Z26="Opt2"),"Opt","N/A"))</f>
        <v>Std</v>
      </c>
    </row>
    <row r="27" spans="1:32">
      <c r="A27" s="213"/>
      <c r="B27" s="296" t="s">
        <v>429</v>
      </c>
      <c r="C27" s="208" t="s">
        <v>430</v>
      </c>
      <c r="D27" s="202" t="s">
        <v>392</v>
      </c>
      <c r="E27" s="203" t="s">
        <v>392</v>
      </c>
      <c r="F27" s="202" t="s">
        <v>392</v>
      </c>
      <c r="G27" s="205" t="s">
        <v>394</v>
      </c>
      <c r="H27" s="203" t="s">
        <v>394</v>
      </c>
      <c r="I27" s="202" t="s">
        <v>392</v>
      </c>
      <c r="J27" s="205" t="s">
        <v>392</v>
      </c>
      <c r="K27" s="203" t="s">
        <v>392</v>
      </c>
      <c r="L27" s="202" t="s">
        <v>394</v>
      </c>
      <c r="M27" s="203" t="s">
        <v>394</v>
      </c>
      <c r="N27" s="202" t="s">
        <v>444</v>
      </c>
      <c r="O27" s="205" t="s">
        <v>444</v>
      </c>
      <c r="P27" s="203" t="s">
        <v>394</v>
      </c>
      <c r="Q27" s="202" t="s">
        <v>394</v>
      </c>
      <c r="R27" s="205" t="s">
        <v>444</v>
      </c>
      <c r="S27" s="203" t="s">
        <v>444</v>
      </c>
      <c r="T27" s="202" t="s">
        <v>444</v>
      </c>
      <c r="U27" s="205" t="s">
        <v>394</v>
      </c>
      <c r="V27" s="205" t="s">
        <v>392</v>
      </c>
      <c r="W27" s="205" t="s">
        <v>392</v>
      </c>
      <c r="X27" s="203" t="s">
        <v>392</v>
      </c>
      <c r="Y27" s="202" t="s">
        <v>392</v>
      </c>
      <c r="Z27" s="203" t="s">
        <v>444</v>
      </c>
      <c r="AA27" s="204" t="s">
        <v>394</v>
      </c>
      <c r="AB27" s="203" t="s">
        <v>394</v>
      </c>
      <c r="AC27" s="210"/>
      <c r="AD27" s="217" t="str" cm="1">
        <f t="array" ref="AD27">IF(OR(Q27:S27="Std"),"Std",IF(OR(Q27:S27="Opt1",Q27:S27="Opt2"),"Opt","N/A"))</f>
        <v>Opt</v>
      </c>
      <c r="AE27" s="217" t="str">
        <f t="array" ref="AE27">IF(OR(T27:X27="Std"),"Std",IF(OR(T27:X27="Opt1",T27:X27="Opt2"),"Opt","N/A"))</f>
        <v>Std</v>
      </c>
      <c r="AF27" s="217" t="str">
        <f t="array" ref="AF27">IF(OR(Y27:Z27="Std"),"Std",IF(OR(Y27:Z27="Opt1",Y27:Z27="Opt2"),"Opt","N/A"))</f>
        <v>Std</v>
      </c>
    </row>
    <row r="28" spans="1:32">
      <c r="A28" s="213"/>
      <c r="B28" s="296" t="s">
        <v>431</v>
      </c>
      <c r="C28" s="208" t="s">
        <v>432</v>
      </c>
      <c r="D28" s="202" t="s">
        <v>392</v>
      </c>
      <c r="E28" s="203" t="s">
        <v>392</v>
      </c>
      <c r="F28" s="202" t="s">
        <v>392</v>
      </c>
      <c r="G28" s="205" t="s">
        <v>394</v>
      </c>
      <c r="H28" s="203" t="s">
        <v>394</v>
      </c>
      <c r="I28" s="202" t="s">
        <v>392</v>
      </c>
      <c r="J28" s="205" t="s">
        <v>392</v>
      </c>
      <c r="K28" s="203" t="s">
        <v>392</v>
      </c>
      <c r="L28" s="202" t="s">
        <v>394</v>
      </c>
      <c r="M28" s="203" t="s">
        <v>394</v>
      </c>
      <c r="N28" s="202" t="s">
        <v>444</v>
      </c>
      <c r="O28" s="205" t="s">
        <v>444</v>
      </c>
      <c r="P28" s="203" t="s">
        <v>394</v>
      </c>
      <c r="Q28" s="202" t="s">
        <v>394</v>
      </c>
      <c r="R28" s="205" t="s">
        <v>444</v>
      </c>
      <c r="S28" s="203" t="s">
        <v>444</v>
      </c>
      <c r="T28" s="202" t="s">
        <v>444</v>
      </c>
      <c r="U28" s="205" t="s">
        <v>394</v>
      </c>
      <c r="V28" s="205" t="s">
        <v>392</v>
      </c>
      <c r="W28" s="205" t="s">
        <v>392</v>
      </c>
      <c r="X28" s="203" t="s">
        <v>392</v>
      </c>
      <c r="Y28" s="202" t="s">
        <v>392</v>
      </c>
      <c r="Z28" s="203" t="s">
        <v>444</v>
      </c>
      <c r="AA28" s="204" t="s">
        <v>394</v>
      </c>
      <c r="AB28" s="203" t="s">
        <v>394</v>
      </c>
      <c r="AC28" s="210"/>
      <c r="AD28" s="217" t="str" cm="1">
        <f t="array" ref="AD28">IF(OR(Q28:S28="Std"),"Std",IF(OR(Q28:S28="Opt1",Q28:S28="Opt2"),"Opt","N/A"))</f>
        <v>Opt</v>
      </c>
      <c r="AE28" s="217" t="str">
        <f t="array" ref="AE28">IF(OR(T28:X28="Std"),"Std",IF(OR(T28:X28="Opt1",T28:X28="Opt2"),"Opt","N/A"))</f>
        <v>Std</v>
      </c>
      <c r="AF28" s="217" t="str">
        <f t="array" ref="AF28">IF(OR(Y28:Z28="Std"),"Std",IF(OR(Y28:Z28="Opt1",Y28:Z28="Opt2"),"Opt","N/A"))</f>
        <v>Std</v>
      </c>
    </row>
    <row r="29" spans="1:32">
      <c r="A29" s="213"/>
      <c r="B29" s="296" t="s">
        <v>433</v>
      </c>
      <c r="C29" s="208" t="s">
        <v>434</v>
      </c>
      <c r="D29" s="202" t="s">
        <v>392</v>
      </c>
      <c r="E29" s="203" t="s">
        <v>392</v>
      </c>
      <c r="F29" s="202" t="s">
        <v>392</v>
      </c>
      <c r="G29" s="205" t="s">
        <v>394</v>
      </c>
      <c r="H29" s="203" t="s">
        <v>394</v>
      </c>
      <c r="I29" s="202" t="s">
        <v>392</v>
      </c>
      <c r="J29" s="205" t="s">
        <v>392</v>
      </c>
      <c r="K29" s="203" t="s">
        <v>392</v>
      </c>
      <c r="L29" s="202" t="s">
        <v>394</v>
      </c>
      <c r="M29" s="203" t="s">
        <v>394</v>
      </c>
      <c r="N29" s="202" t="s">
        <v>444</v>
      </c>
      <c r="O29" s="205" t="s">
        <v>444</v>
      </c>
      <c r="P29" s="203" t="s">
        <v>394</v>
      </c>
      <c r="Q29" s="202" t="s">
        <v>394</v>
      </c>
      <c r="R29" s="205" t="s">
        <v>444</v>
      </c>
      <c r="S29" s="203" t="s">
        <v>444</v>
      </c>
      <c r="T29" s="202" t="s">
        <v>444</v>
      </c>
      <c r="U29" s="205" t="s">
        <v>394</v>
      </c>
      <c r="V29" s="205" t="s">
        <v>392</v>
      </c>
      <c r="W29" s="205" t="s">
        <v>392</v>
      </c>
      <c r="X29" s="203" t="s">
        <v>392</v>
      </c>
      <c r="Y29" s="202" t="s">
        <v>392</v>
      </c>
      <c r="Z29" s="203" t="s">
        <v>444</v>
      </c>
      <c r="AA29" s="204" t="s">
        <v>394</v>
      </c>
      <c r="AB29" s="203" t="s">
        <v>394</v>
      </c>
      <c r="AC29" s="210"/>
      <c r="AD29" s="217" t="str" cm="1">
        <f t="array" ref="AD29">IF(OR(Q29:S29="Std"),"Std",IF(OR(Q29:S29="Opt1",Q29:S29="Opt2"),"Opt","N/A"))</f>
        <v>Opt</v>
      </c>
      <c r="AE29" s="217" t="str">
        <f t="array" ref="AE29">IF(OR(T29:X29="Std"),"Std",IF(OR(T29:X29="Opt1",T29:X29="Opt2"),"Opt","N/A"))</f>
        <v>Std</v>
      </c>
      <c r="AF29" s="217" t="str">
        <f t="array" ref="AF29">IF(OR(Y29:Z29="Std"),"Std",IF(OR(Y29:Z29="Opt1",Y29:Z29="Opt2"),"Opt","N/A"))</f>
        <v>Std</v>
      </c>
    </row>
    <row r="30" spans="1:32">
      <c r="A30" s="213"/>
      <c r="B30" s="296" t="s">
        <v>435</v>
      </c>
      <c r="C30" s="208" t="s">
        <v>436</v>
      </c>
      <c r="D30" s="202" t="s">
        <v>392</v>
      </c>
      <c r="E30" s="203" t="s">
        <v>392</v>
      </c>
      <c r="F30" s="202" t="s">
        <v>392</v>
      </c>
      <c r="G30" s="205" t="s">
        <v>394</v>
      </c>
      <c r="H30" s="203" t="s">
        <v>394</v>
      </c>
      <c r="I30" s="202" t="s">
        <v>392</v>
      </c>
      <c r="J30" s="205" t="s">
        <v>392</v>
      </c>
      <c r="K30" s="203" t="s">
        <v>392</v>
      </c>
      <c r="L30" s="202" t="s">
        <v>394</v>
      </c>
      <c r="M30" s="203" t="s">
        <v>394</v>
      </c>
      <c r="N30" s="202" t="s">
        <v>394</v>
      </c>
      <c r="O30" s="205" t="s">
        <v>394</v>
      </c>
      <c r="P30" s="203" t="s">
        <v>394</v>
      </c>
      <c r="Q30" s="202" t="s">
        <v>394</v>
      </c>
      <c r="R30" s="205" t="s">
        <v>444</v>
      </c>
      <c r="S30" s="203" t="s">
        <v>444</v>
      </c>
      <c r="T30" s="202" t="s">
        <v>444</v>
      </c>
      <c r="U30" s="205" t="s">
        <v>394</v>
      </c>
      <c r="V30" s="205" t="s">
        <v>392</v>
      </c>
      <c r="W30" s="205" t="s">
        <v>392</v>
      </c>
      <c r="X30" s="203" t="s">
        <v>392</v>
      </c>
      <c r="Y30" s="202" t="s">
        <v>392</v>
      </c>
      <c r="Z30" s="203" t="s">
        <v>444</v>
      </c>
      <c r="AA30" s="204" t="s">
        <v>394</v>
      </c>
      <c r="AB30" s="203" t="s">
        <v>394</v>
      </c>
      <c r="AC30" s="210"/>
      <c r="AD30" s="217" t="str" cm="1">
        <f t="array" ref="AD30">IF(OR(Q30:S30="Std"),"Std",IF(OR(Q30:S30="Opt1",Q30:S30="Opt2"),"Opt","N/A"))</f>
        <v>Opt</v>
      </c>
      <c r="AE30" s="217" t="str">
        <f t="array" ref="AE30">IF(OR(T30:X30="Std"),"Std",IF(OR(T30:X30="Opt1",T30:X30="Opt2"),"Opt","N/A"))</f>
        <v>Std</v>
      </c>
      <c r="AF30" s="217" t="str">
        <f t="array" ref="AF30">IF(OR(Y30:Z30="Std"),"Std",IF(OR(Y30:Z30="Opt1",Y30:Z30="Opt2"),"Opt","N/A"))</f>
        <v>Std</v>
      </c>
    </row>
    <row r="31" spans="1:32">
      <c r="A31" s="213"/>
      <c r="B31" s="296" t="s">
        <v>437</v>
      </c>
      <c r="C31" s="208" t="s">
        <v>438</v>
      </c>
      <c r="D31" s="202" t="s">
        <v>392</v>
      </c>
      <c r="E31" s="203" t="s">
        <v>392</v>
      </c>
      <c r="F31" s="202" t="s">
        <v>392</v>
      </c>
      <c r="G31" s="205" t="s">
        <v>394</v>
      </c>
      <c r="H31" s="203" t="s">
        <v>394</v>
      </c>
      <c r="I31" s="202" t="s">
        <v>392</v>
      </c>
      <c r="J31" s="205" t="s">
        <v>392</v>
      </c>
      <c r="K31" s="203" t="s">
        <v>392</v>
      </c>
      <c r="L31" s="202" t="s">
        <v>394</v>
      </c>
      <c r="M31" s="203" t="s">
        <v>394</v>
      </c>
      <c r="N31" s="202" t="s">
        <v>394</v>
      </c>
      <c r="O31" s="205" t="s">
        <v>394</v>
      </c>
      <c r="P31" s="203" t="s">
        <v>394</v>
      </c>
      <c r="Q31" s="202" t="s">
        <v>394</v>
      </c>
      <c r="R31" s="205" t="s">
        <v>394</v>
      </c>
      <c r="S31" s="203" t="s">
        <v>394</v>
      </c>
      <c r="T31" s="202" t="s">
        <v>394</v>
      </c>
      <c r="U31" s="205" t="s">
        <v>394</v>
      </c>
      <c r="V31" s="205" t="s">
        <v>392</v>
      </c>
      <c r="W31" s="205" t="s">
        <v>392</v>
      </c>
      <c r="X31" s="203" t="s">
        <v>392</v>
      </c>
      <c r="Y31" s="202" t="s">
        <v>392</v>
      </c>
      <c r="Z31" s="203" t="s">
        <v>394</v>
      </c>
      <c r="AA31" s="204" t="s">
        <v>394</v>
      </c>
      <c r="AB31" s="203" t="s">
        <v>394</v>
      </c>
      <c r="AC31" s="210"/>
      <c r="AD31" s="217" t="str" cm="1">
        <f t="array" ref="AD31">IF(OR(Q31:S31="Std"),"Std",IF(OR(Q31:S31="Opt1",Q31:S31="Opt2"),"Opt","N/A"))</f>
        <v>N/A</v>
      </c>
      <c r="AE31" s="217" t="str">
        <f t="array" ref="AE31">IF(OR(T31:X31="Std"),"Std",IF(OR(T31:X31="Opt1",T31:X31="Opt2"),"Opt","N/A"))</f>
        <v>Std</v>
      </c>
      <c r="AF31" s="217" t="str">
        <f t="array" ref="AF31">IF(OR(Y31:Z31="Std"),"Std",IF(OR(Y31:Z31="Opt1",Y31:Z31="Opt2"),"Opt","N/A"))</f>
        <v>Std</v>
      </c>
    </row>
    <row r="32" spans="1:32">
      <c r="A32" s="213"/>
      <c r="B32" s="296" t="s">
        <v>183</v>
      </c>
      <c r="C32" s="208" t="s">
        <v>439</v>
      </c>
      <c r="D32" s="202" t="s">
        <v>392</v>
      </c>
      <c r="E32" s="203" t="s">
        <v>392</v>
      </c>
      <c r="F32" s="202" t="s">
        <v>392</v>
      </c>
      <c r="G32" s="205" t="s">
        <v>394</v>
      </c>
      <c r="H32" s="203" t="s">
        <v>394</v>
      </c>
      <c r="I32" s="202" t="s">
        <v>392</v>
      </c>
      <c r="J32" s="205" t="s">
        <v>392</v>
      </c>
      <c r="K32" s="203" t="s">
        <v>392</v>
      </c>
      <c r="L32" s="202" t="s">
        <v>394</v>
      </c>
      <c r="M32" s="203" t="s">
        <v>394</v>
      </c>
      <c r="N32" s="202" t="s">
        <v>394</v>
      </c>
      <c r="O32" s="205" t="s">
        <v>394</v>
      </c>
      <c r="P32" s="203" t="s">
        <v>394</v>
      </c>
      <c r="Q32" s="202" t="s">
        <v>394</v>
      </c>
      <c r="R32" s="205" t="s">
        <v>444</v>
      </c>
      <c r="S32" s="203" t="s">
        <v>444</v>
      </c>
      <c r="T32" s="202" t="s">
        <v>444</v>
      </c>
      <c r="U32" s="205" t="s">
        <v>394</v>
      </c>
      <c r="V32" s="205" t="s">
        <v>392</v>
      </c>
      <c r="W32" s="205" t="s">
        <v>392</v>
      </c>
      <c r="X32" s="203" t="s">
        <v>392</v>
      </c>
      <c r="Y32" s="202" t="s">
        <v>392</v>
      </c>
      <c r="Z32" s="203" t="s">
        <v>444</v>
      </c>
      <c r="AA32" s="204" t="s">
        <v>394</v>
      </c>
      <c r="AB32" s="203" t="s">
        <v>394</v>
      </c>
      <c r="AC32" s="210"/>
      <c r="AD32" s="217" t="str" cm="1">
        <f t="array" ref="AD32">IF(OR(Q32:S32="Std"),"Std",IF(OR(Q32:S32="Opt1",Q32:S32="Opt2"),"Opt","N/A"))</f>
        <v>Opt</v>
      </c>
      <c r="AE32" s="217" t="str">
        <f t="array" ref="AE32">IF(OR(T32:X32="Std"),"Std",IF(OR(T32:X32="Opt1",T32:X32="Opt2"),"Opt","N/A"))</f>
        <v>Std</v>
      </c>
      <c r="AF32" s="217" t="str">
        <f t="array" ref="AF32">IF(OR(Y32:Z32="Std"),"Std",IF(OR(Y32:Z32="Opt1",Y32:Z32="Opt2"),"Opt","N/A"))</f>
        <v>Std</v>
      </c>
    </row>
    <row r="33" spans="1:32">
      <c r="A33" s="213"/>
      <c r="B33" s="296" t="s">
        <v>185</v>
      </c>
      <c r="C33" s="208" t="s">
        <v>440</v>
      </c>
      <c r="D33" s="202" t="s">
        <v>392</v>
      </c>
      <c r="E33" s="203" t="s">
        <v>392</v>
      </c>
      <c r="F33" s="202" t="s">
        <v>392</v>
      </c>
      <c r="G33" s="205" t="s">
        <v>394</v>
      </c>
      <c r="H33" s="203" t="s">
        <v>394</v>
      </c>
      <c r="I33" s="202" t="s">
        <v>392</v>
      </c>
      <c r="J33" s="205" t="s">
        <v>392</v>
      </c>
      <c r="K33" s="203" t="s">
        <v>392</v>
      </c>
      <c r="L33" s="202" t="s">
        <v>394</v>
      </c>
      <c r="M33" s="203" t="s">
        <v>394</v>
      </c>
      <c r="N33" s="202" t="s">
        <v>444</v>
      </c>
      <c r="O33" s="205" t="s">
        <v>444</v>
      </c>
      <c r="P33" s="203" t="s">
        <v>394</v>
      </c>
      <c r="Q33" s="202" t="s">
        <v>394</v>
      </c>
      <c r="R33" s="205" t="s">
        <v>394</v>
      </c>
      <c r="S33" s="203" t="s">
        <v>394</v>
      </c>
      <c r="T33" s="202" t="s">
        <v>394</v>
      </c>
      <c r="U33" s="205" t="s">
        <v>394</v>
      </c>
      <c r="V33" s="205" t="s">
        <v>392</v>
      </c>
      <c r="W33" s="205" t="s">
        <v>392</v>
      </c>
      <c r="X33" s="203" t="s">
        <v>392</v>
      </c>
      <c r="Y33" s="202" t="s">
        <v>392</v>
      </c>
      <c r="Z33" s="203" t="s">
        <v>394</v>
      </c>
      <c r="AA33" s="204" t="s">
        <v>394</v>
      </c>
      <c r="AB33" s="203" t="s">
        <v>394</v>
      </c>
      <c r="AC33" s="210"/>
      <c r="AD33" s="217" t="str" cm="1">
        <f t="array" ref="AD33">IF(OR(Q33:S33="Std"),"Std",IF(OR(Q33:S33="Opt1",Q33:S33="Opt2"),"Opt","N/A"))</f>
        <v>N/A</v>
      </c>
      <c r="AE33" s="217" t="str">
        <f t="array" ref="AE33">IF(OR(T33:X33="Std"),"Std",IF(OR(T33:X33="Opt1",T33:X33="Opt2"),"Opt","N/A"))</f>
        <v>Std</v>
      </c>
      <c r="AF33" s="217" t="str">
        <f t="array" ref="AF33">IF(OR(Y33:Z33="Std"),"Std",IF(OR(Y33:Z33="Opt1",Y33:Z33="Opt2"),"Opt","N/A"))</f>
        <v>Std</v>
      </c>
    </row>
    <row r="34" spans="1:32" ht="15.75" thickBot="1">
      <c r="A34" s="213"/>
      <c r="B34" s="214" t="s">
        <v>184</v>
      </c>
      <c r="C34" s="215" t="s">
        <v>441</v>
      </c>
      <c r="D34" s="221" t="s">
        <v>392</v>
      </c>
      <c r="E34" s="223" t="s">
        <v>392</v>
      </c>
      <c r="F34" s="221" t="s">
        <v>392</v>
      </c>
      <c r="G34" s="222" t="s">
        <v>394</v>
      </c>
      <c r="H34" s="223" t="s">
        <v>394</v>
      </c>
      <c r="I34" s="221" t="s">
        <v>392</v>
      </c>
      <c r="J34" s="222" t="s">
        <v>392</v>
      </c>
      <c r="K34" s="223" t="s">
        <v>392</v>
      </c>
      <c r="L34" s="221" t="s">
        <v>394</v>
      </c>
      <c r="M34" s="223" t="s">
        <v>394</v>
      </c>
      <c r="N34" s="221" t="s">
        <v>444</v>
      </c>
      <c r="O34" s="222" t="s">
        <v>444</v>
      </c>
      <c r="P34" s="223" t="s">
        <v>394</v>
      </c>
      <c r="Q34" s="221" t="s">
        <v>394</v>
      </c>
      <c r="R34" s="222" t="s">
        <v>394</v>
      </c>
      <c r="S34" s="223" t="s">
        <v>394</v>
      </c>
      <c r="T34" s="221" t="s">
        <v>394</v>
      </c>
      <c r="U34" s="222" t="s">
        <v>394</v>
      </c>
      <c r="V34" s="222" t="s">
        <v>392</v>
      </c>
      <c r="W34" s="222" t="s">
        <v>392</v>
      </c>
      <c r="X34" s="223" t="s">
        <v>392</v>
      </c>
      <c r="Y34" s="221" t="s">
        <v>392</v>
      </c>
      <c r="Z34" s="223" t="s">
        <v>394</v>
      </c>
      <c r="AA34" s="224" t="s">
        <v>394</v>
      </c>
      <c r="AB34" s="223" t="s">
        <v>394</v>
      </c>
      <c r="AC34" s="216"/>
      <c r="AD34" s="217" t="str" cm="1">
        <f t="array" ref="AD34">IF(OR(Q34:S34="Std"),"Std",IF(OR(Q34:S34="Opt1",Q34:S34="Opt2"),"Opt","N/A"))</f>
        <v>N/A</v>
      </c>
      <c r="AE34" s="217" t="str">
        <f t="array" ref="AE34">IF(OR(T34:X34="Std"),"Std",IF(OR(T34:X34="Opt1",T34:X34="Opt2"),"Opt","N/A"))</f>
        <v>Std</v>
      </c>
      <c r="AF34" s="217" t="str">
        <f t="array" ref="AF34">IF(OR(Y34:Z34="Std"),"Std",IF(OR(Y34:Z34="Opt1",Y34:Z34="Opt2"),"Opt","N/A"))</f>
        <v>Std</v>
      </c>
    </row>
    <row r="35" spans="1:32" s="217" customFormat="1" ht="29.25" customHeight="1" thickBot="1">
      <c r="A35" s="229"/>
      <c r="B35" s="228" t="s">
        <v>446</v>
      </c>
      <c r="C35" s="230"/>
      <c r="D35" s="228" t="str">
        <f t="array" ref="D35">IF(AND(D6:D34="Std"),"Std",IF(OR(D6:D34="Opt1",D6:D34="Opt2"),"Opt","N/A"))</f>
        <v>Std</v>
      </c>
      <c r="E35" s="228" t="str">
        <f t="array" ref="E35">IF(AND(E6:E34="Std"),"Std",IF(OR(E6:E34="Opt1",E6:E34="Opt2"),"Opt","N/A"))</f>
        <v>Std</v>
      </c>
      <c r="F35" s="228" t="str">
        <f t="array" ref="F35">IF(AND(F6:F34="Std"),"Std",IF(OR(F6:F34="Opt1",F6:F34="Opt2"),"Opt","N/A"))</f>
        <v>Std</v>
      </c>
      <c r="G35" s="228" t="str">
        <f t="array" ref="G35">IF(AND(G6:G34="Std"),"Std",IF(OR(G6:G34="Opt1",G6:G34="Opt2"),"Opt","N/A"))</f>
        <v>N/A</v>
      </c>
      <c r="H35" s="228" t="str">
        <f t="array" ref="H35">IF(AND(H6:H34="Std"),"Std",IF(OR(H6:H34="Opt1",H6:H34="Opt2"),"Opt","N/A"))</f>
        <v>N/A</v>
      </c>
      <c r="I35" s="228" t="str">
        <f t="array" ref="I35">IF(AND(I6:I34="Std"),"Std",IF(OR(I6:I34="Opt1",I6:I34="Opt2"),"Opt","N/A"))</f>
        <v>Std</v>
      </c>
      <c r="J35" s="228" t="str">
        <f t="array" ref="J35">IF(AND(J6:J34="Std"),"Std",IF(OR(J6:J34="Opt1",J6:J34="Opt2"),"Opt","N/A"))</f>
        <v>Std</v>
      </c>
      <c r="K35" s="228" t="str">
        <f t="array" ref="K35">IF(AND(K6:K34="Std"),"Std",IF(OR(K6:K34="Opt1",K6:K34="Opt2"),"Opt","N/A"))</f>
        <v>Std</v>
      </c>
      <c r="L35" s="228" t="str">
        <f t="array" ref="L35">IF(AND(L6:L34="Std"),"Std",IF(OR(L6:L34="Opt1",L6:L34="Opt2"),"Opt","N/A"))</f>
        <v>N/A</v>
      </c>
      <c r="M35" s="228" t="str">
        <f t="array" ref="M35">IF(AND(M6:M34="Std"),"Std",IF(OR(M6:M34="Opt1",M6:M34="Opt2"),"Opt","N/A"))</f>
        <v>N/A</v>
      </c>
      <c r="N35" s="228" t="str">
        <f t="array" ref="N35">IF(AND(N6:N34="Std"),"Std",IF(OR(N6:N34="Opt1",N6:N34="Opt2"),"Opt","N/A"))</f>
        <v>Opt</v>
      </c>
      <c r="O35" s="228" t="str">
        <f t="array" ref="O35">IF(AND(O6:O34="Std"),"Std",IF(OR(O6:O34="Opt1",O6:O34="Opt2"),"Opt","N/A"))</f>
        <v>Opt</v>
      </c>
      <c r="P35" s="228" t="str">
        <f t="array" ref="P35">IF(AND(P6:P34="Std"),"Std",IF(OR(P6:P34="Opt1",P6:P34="Opt2"),"Opt","N/A"))</f>
        <v>N/A</v>
      </c>
      <c r="Q35" s="228" t="str">
        <f t="array" ref="Q35">IF(AND(Q6:Q34="Std"),"Std",IF(OR(Q6:Q34="Opt1",Q6:Q34="Opt2"),"Opt","N/A"))</f>
        <v>N/A</v>
      </c>
      <c r="R35" s="228" t="str">
        <f t="array" ref="R35">IF(AND(R6:R34="Std"),"Std",IF(OR(R6:R34="Opt1",R6:R34="Opt2"),"Opt","N/A"))</f>
        <v>Opt</v>
      </c>
      <c r="S35" s="228" t="str">
        <f t="array" ref="S35">IF(AND(S6:S34="Std"),"Std",IF(OR(S6:S34="Opt1",S6:S34="Opt2"),"Opt","N/A"))</f>
        <v>Opt</v>
      </c>
      <c r="T35" s="228" t="str">
        <f t="array" ref="T35">IF(AND(T6:T34="Std"),"Std",IF(OR(T6:T34="Opt1",T6:T34="Opt2"),"Opt","N/A"))</f>
        <v>Opt</v>
      </c>
      <c r="U35" s="228" t="str">
        <f t="array" ref="U35">IF(AND(U6:U34="Std"),"Std",IF(OR(U6:U34="Opt1",U6:U34="Opt2"),"Opt","N/A"))</f>
        <v>N/A</v>
      </c>
      <c r="V35" s="228" t="str">
        <f t="array" ref="V35">IF(AND(V6:V34="Std"),"Std",IF(OR(V6:V34="Opt1",V6:V34="Opt2"),"Opt","N/A"))</f>
        <v>Std</v>
      </c>
      <c r="W35" s="228" t="str">
        <f t="array" ref="W35">IF(AND(W6:W34="Std"),"Std",IF(OR(W6:W34="Opt1",W6:W34="Opt2"),"Opt","N/A"))</f>
        <v>Std</v>
      </c>
      <c r="X35" s="228" t="str">
        <f t="array" ref="X35">IF(AND(X6:X34="Std"),"Std",IF(OR(X6:X34="Opt1",X6:X34="Opt2"),"Opt","N/A"))</f>
        <v>Std</v>
      </c>
      <c r="Y35" s="228" t="str">
        <f t="array" ref="Y35">IF(AND(Y6:Y34="Std"),"Std",IF(OR(Y6:Y34="Opt1",Y6:Y34="Opt2"),"Opt","N/A"))</f>
        <v>Std</v>
      </c>
      <c r="Z35" s="228" t="str">
        <f t="array" ref="Z35">IF(AND(Z6:Z34="Std"),"Std",IF(OR(Z6:Z34="Opt1",Z6:Z34="Opt2"),"Opt","N/A"))</f>
        <v>Opt</v>
      </c>
      <c r="AA35" s="228" t="str">
        <f t="array" ref="AA35">IF(AND(AA6:AA34="Std"),"Std",IF(OR(AA6:AA34="Opt1",AA6:AA34="Opt2"),"Opt","N/A"))</f>
        <v>N/A</v>
      </c>
      <c r="AB35" s="228" t="str">
        <f t="array" ref="AB35">IF(AND(AB6:AB34="Std"),"Std",IF(OR(AB6:AB34="Opt1",AB6:AB34="Opt2"),"Opt","N/A"))</f>
        <v>N/A</v>
      </c>
      <c r="AD35" s="228" t="str">
        <f t="array" ref="AD35">IF(AND(AD6:AD34="Std"),"Std",IF(OR(AD6:AD34="Opt"),"Opt","N/A"))</f>
        <v>Opt</v>
      </c>
      <c r="AE35" s="228" t="str">
        <f t="array" ref="AE35">IF(AND(AE6:AE34="Std"),"Std",IF(OR(AE6:AE34="Opt"),"Opt","N/A"))</f>
        <v>Std</v>
      </c>
      <c r="AF35" s="228" t="str">
        <f t="array" ref="AF35">IF(AND(AF6:AF34="Std"),"Std",IF(OR(AF6:AF34="Opt"),"Opt","N/A"))</f>
        <v>Std</v>
      </c>
    </row>
    <row r="36" spans="1:32">
      <c r="A36" s="218" t="s">
        <v>442</v>
      </c>
      <c r="C36" s="218"/>
      <c r="D36" s="218"/>
      <c r="E36" s="218"/>
      <c r="F36" s="218"/>
    </row>
    <row r="37" spans="1:32">
      <c r="A37" s="205" t="s">
        <v>392</v>
      </c>
      <c r="B37" s="218" t="s">
        <v>443</v>
      </c>
      <c r="C37" s="218"/>
      <c r="D37" s="218"/>
      <c r="E37" s="218"/>
      <c r="F37" s="218"/>
    </row>
    <row r="38" spans="1:32">
      <c r="A38" s="205" t="s">
        <v>393</v>
      </c>
      <c r="B38" s="218" t="str">
        <f>"The equipment is not standard on all variants but is available at least as an option on all N1 variants of the "&amp;A1&amp;" model range"</f>
        <v>The equipment is not standard on all variants but is available at least as an option on all N1 variants of the Toyota PROACE model range</v>
      </c>
      <c r="C38" s="218"/>
      <c r="D38" s="218"/>
      <c r="E38" s="218"/>
      <c r="F38" s="218"/>
    </row>
    <row r="39" spans="1:32">
      <c r="A39" s="205" t="s">
        <v>444</v>
      </c>
      <c r="B39" s="219" t="str">
        <f>"The equipment is offered as an option on at least one N1 variant of the "&amp;A1&amp;" model range"</f>
        <v>The equipment is offered as an option on at least one N1 variant of the Toyota PROACE model range</v>
      </c>
    </row>
    <row r="40" spans="1:32">
      <c r="A40" s="205" t="s">
        <v>394</v>
      </c>
      <c r="B40" s="218" t="s">
        <v>445</v>
      </c>
    </row>
    <row r="43" spans="1:32">
      <c r="C43" s="196" t="s">
        <v>391</v>
      </c>
    </row>
    <row r="44" spans="1:32">
      <c r="C44" s="196" t="s">
        <v>396</v>
      </c>
    </row>
    <row r="45" spans="1:32">
      <c r="C45" s="196" t="s">
        <v>398</v>
      </c>
    </row>
    <row r="46" spans="1:32">
      <c r="C46" s="196" t="s">
        <v>400</v>
      </c>
    </row>
    <row r="47" spans="1:32">
      <c r="C47" s="196" t="s">
        <v>402</v>
      </c>
    </row>
    <row r="48" spans="1:32">
      <c r="C48" s="208" t="s">
        <v>404</v>
      </c>
    </row>
    <row r="49" spans="3:3">
      <c r="C49" s="208" t="s">
        <v>406</v>
      </c>
    </row>
    <row r="50" spans="3:3">
      <c r="C50" s="208" t="s">
        <v>408</v>
      </c>
    </row>
    <row r="51" spans="3:3">
      <c r="C51" s="208" t="s">
        <v>410</v>
      </c>
    </row>
    <row r="52" spans="3:3">
      <c r="C52" s="208" t="s">
        <v>411</v>
      </c>
    </row>
    <row r="53" spans="3:3">
      <c r="C53" s="208" t="s">
        <v>412</v>
      </c>
    </row>
    <row r="54" spans="3:3">
      <c r="C54" s="208" t="s">
        <v>414</v>
      </c>
    </row>
    <row r="55" spans="3:3">
      <c r="C55" s="208" t="s">
        <v>416</v>
      </c>
    </row>
    <row r="56" spans="3:3">
      <c r="C56" s="208" t="s">
        <v>418</v>
      </c>
    </row>
    <row r="57" spans="3:3">
      <c r="C57" s="211" t="s">
        <v>419</v>
      </c>
    </row>
    <row r="58" spans="3:3">
      <c r="C58" s="208" t="s">
        <v>421</v>
      </c>
    </row>
    <row r="59" spans="3:3">
      <c r="C59" s="208" t="s">
        <v>423</v>
      </c>
    </row>
    <row r="60" spans="3:3">
      <c r="C60" s="208" t="s">
        <v>424</v>
      </c>
    </row>
    <row r="61" spans="3:3">
      <c r="C61" s="208" t="s">
        <v>426</v>
      </c>
    </row>
    <row r="62" spans="3:3">
      <c r="C62" s="208" t="s">
        <v>428</v>
      </c>
    </row>
    <row r="63" spans="3:3">
      <c r="C63" s="208" t="s">
        <v>430</v>
      </c>
    </row>
    <row r="64" spans="3:3">
      <c r="C64" s="208" t="s">
        <v>432</v>
      </c>
    </row>
    <row r="65" spans="3:3">
      <c r="C65" s="208" t="s">
        <v>434</v>
      </c>
    </row>
    <row r="66" spans="3:3">
      <c r="C66" s="208" t="s">
        <v>436</v>
      </c>
    </row>
    <row r="67" spans="3:3">
      <c r="C67" s="208" t="s">
        <v>438</v>
      </c>
    </row>
    <row r="68" spans="3:3">
      <c r="C68" s="208" t="s">
        <v>439</v>
      </c>
    </row>
    <row r="69" spans="3:3">
      <c r="C69" s="208" t="s">
        <v>440</v>
      </c>
    </row>
    <row r="70" spans="3:3" ht="15.75" thickBot="1">
      <c r="C70" s="215" t="s">
        <v>441</v>
      </c>
    </row>
  </sheetData>
  <mergeCells count="13">
    <mergeCell ref="T3:X3"/>
    <mergeCell ref="Y3:Z3"/>
    <mergeCell ref="AD2:AF2"/>
    <mergeCell ref="B2:B4"/>
    <mergeCell ref="D2:M2"/>
    <mergeCell ref="N2:Z2"/>
    <mergeCell ref="AA2:AB2"/>
    <mergeCell ref="D3:E3"/>
    <mergeCell ref="F3:H3"/>
    <mergeCell ref="I3:K3"/>
    <mergeCell ref="L3:M3"/>
    <mergeCell ref="N3:P3"/>
    <mergeCell ref="Q3:S3"/>
  </mergeCells>
  <conditionalFormatting sqref="D6:AB34">
    <cfRule type="containsText" dxfId="769" priority="9" operator="containsText" text="N/A">
      <formula>NOT(ISERROR(SEARCH("N/A",D6)))</formula>
    </cfRule>
    <cfRule type="containsText" dxfId="768" priority="10" operator="containsText" text="Opt2">
      <formula>NOT(ISERROR(SEARCH("Opt2",D6)))</formula>
    </cfRule>
    <cfRule type="containsText" dxfId="767" priority="11" operator="containsText" text="Opt1">
      <formula>NOT(ISERROR(SEARCH("Opt1",D6)))</formula>
    </cfRule>
    <cfRule type="containsText" dxfId="766" priority="12" operator="containsText" text="Std">
      <formula>NOT(ISERROR(SEARCH("Std",D6)))</formula>
    </cfRule>
  </conditionalFormatting>
  <conditionalFormatting sqref="A37:A40">
    <cfRule type="containsText" dxfId="765" priority="1" operator="containsText" text="N/A">
      <formula>NOT(ISERROR(SEARCH("N/A",A37)))</formula>
    </cfRule>
    <cfRule type="containsText" dxfId="764" priority="2" operator="containsText" text="Opt2">
      <formula>NOT(ISERROR(SEARCH("Opt2",A37)))</formula>
    </cfRule>
    <cfRule type="containsText" dxfId="763" priority="3" operator="containsText" text="Opt1">
      <formula>NOT(ISERROR(SEARCH("Opt1",A37)))</formula>
    </cfRule>
    <cfRule type="containsText" dxfId="762" priority="4" operator="containsText" text="Std">
      <formula>NOT(ISERROR(SEARCH("Std",A37)))</formula>
    </cfRule>
  </conditionalFormatting>
  <dataValidations count="1">
    <dataValidation allowBlank="1" showErrorMessage="1" promptTitle="LKA means...." prompt="LKA or ELK or both_x000a_" sqref="Q4 AD4" xr:uid="{330B7B1B-9A9E-4383-9137-613B7A0D0F65}"/>
  </dataValidations>
  <pageMargins left="0.7" right="0.7" top="0.75" bottom="0.75" header="0.3" footer="0.3"/>
  <pageSetup paperSize="9" orientation="portrait" horizontalDpi="4294967293" verticalDpi="0"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630C72-FFED-4B2D-AF90-DCA89FE87C77}">
  <sheetPr codeName="Sheet4">
    <tabColor rgb="FF00B050"/>
    <pageSetUpPr fitToPage="1"/>
  </sheetPr>
  <dimension ref="A1:J127"/>
  <sheetViews>
    <sheetView topLeftCell="A92" zoomScale="85" zoomScaleNormal="85" workbookViewId="0">
      <selection activeCell="I126" sqref="I126"/>
    </sheetView>
  </sheetViews>
  <sheetFormatPr defaultColWidth="8.7109375" defaultRowHeight="12.75"/>
  <cols>
    <col min="1" max="2" width="8.7109375" style="28"/>
    <col min="3" max="3" width="40.42578125" style="28" customWidth="1"/>
    <col min="4" max="7" width="10.7109375" style="28" customWidth="1"/>
    <col min="8" max="8" width="13.42578125" style="28" hidden="1" customWidth="1"/>
    <col min="9" max="11" width="8.7109375" style="28" customWidth="1"/>
    <col min="12" max="16384" width="8.7109375" style="28"/>
  </cols>
  <sheetData>
    <row r="1" spans="1:8" ht="13.5" thickBot="1">
      <c r="A1" s="27">
        <v>3</v>
      </c>
    </row>
    <row r="2" spans="1:8" s="30" customFormat="1" ht="13.15" customHeight="1">
      <c r="B2" s="463" t="s">
        <v>69</v>
      </c>
      <c r="C2" s="464"/>
      <c r="D2" s="467" t="s">
        <v>103</v>
      </c>
      <c r="E2" s="468"/>
      <c r="F2" s="471" t="s">
        <v>718</v>
      </c>
      <c r="G2" s="472"/>
    </row>
    <row r="3" spans="1:8" s="30" customFormat="1" ht="15" customHeight="1">
      <c r="B3" s="465"/>
      <c r="C3" s="466"/>
      <c r="D3" s="469"/>
      <c r="E3" s="470"/>
      <c r="F3" s="473"/>
      <c r="G3" s="474"/>
    </row>
    <row r="4" spans="1:8" ht="15" customHeight="1" thickBot="1">
      <c r="B4" s="475"/>
      <c r="C4" s="476"/>
      <c r="D4" s="77" t="s">
        <v>104</v>
      </c>
      <c r="E4" s="78" t="s">
        <v>10</v>
      </c>
      <c r="F4" s="248" t="s">
        <v>104</v>
      </c>
      <c r="G4" s="79" t="s">
        <v>10</v>
      </c>
    </row>
    <row r="5" spans="1:8" s="29" customFormat="1" ht="15" customHeight="1">
      <c r="A5" s="28"/>
      <c r="B5" s="33" t="s">
        <v>29</v>
      </c>
      <c r="C5" s="63"/>
      <c r="D5" s="477"/>
      <c r="E5" s="478"/>
      <c r="F5" s="478"/>
      <c r="G5" s="479"/>
    </row>
    <row r="6" spans="1:8" s="29" customFormat="1" ht="15" customHeight="1">
      <c r="A6" s="28"/>
      <c r="B6" s="31"/>
      <c r="C6" s="64" t="s">
        <v>105</v>
      </c>
      <c r="D6" s="492"/>
      <c r="E6" s="493"/>
      <c r="F6" s="492"/>
      <c r="G6" s="493"/>
      <c r="H6" s="29">
        <f>D6</f>
        <v>0</v>
      </c>
    </row>
    <row r="7" spans="1:8" s="29" customFormat="1" ht="15" customHeight="1">
      <c r="A7" s="28"/>
      <c r="B7" s="31"/>
      <c r="C7" s="64" t="s">
        <v>30</v>
      </c>
      <c r="D7" s="492"/>
      <c r="E7" s="493"/>
      <c r="F7" s="492"/>
      <c r="G7" s="493"/>
    </row>
    <row r="8" spans="1:8" s="29" customFormat="1" ht="15" customHeight="1">
      <c r="A8" s="28"/>
      <c r="B8" s="31"/>
      <c r="C8" s="64" t="s">
        <v>47</v>
      </c>
      <c r="D8" s="494"/>
      <c r="E8" s="495"/>
      <c r="F8" s="494"/>
      <c r="G8" s="495"/>
      <c r="H8" s="29">
        <f>D8</f>
        <v>0</v>
      </c>
    </row>
    <row r="9" spans="1:8" s="29" customFormat="1" ht="15" customHeight="1" thickBot="1">
      <c r="A9" s="28"/>
      <c r="B9" s="38"/>
      <c r="C9" s="65" t="s">
        <v>31</v>
      </c>
      <c r="D9" s="496"/>
      <c r="E9" s="497"/>
      <c r="F9" s="496"/>
      <c r="G9" s="497"/>
      <c r="H9" s="29">
        <f>D9</f>
        <v>0</v>
      </c>
    </row>
    <row r="10" spans="1:8" s="29" customFormat="1" ht="15" customHeight="1" thickBot="1">
      <c r="A10" s="28"/>
      <c r="B10" s="28"/>
      <c r="C10" s="30"/>
      <c r="D10" s="28"/>
      <c r="E10" s="28"/>
      <c r="F10" s="28"/>
      <c r="G10" s="28"/>
    </row>
    <row r="11" spans="1:8" s="29" customFormat="1" ht="15" customHeight="1">
      <c r="A11" s="28"/>
      <c r="B11" s="33" t="s">
        <v>70</v>
      </c>
      <c r="C11" s="34"/>
      <c r="D11" s="477"/>
      <c r="E11" s="478"/>
      <c r="F11" s="478"/>
      <c r="G11" s="479"/>
    </row>
    <row r="12" spans="1:8" s="29" customFormat="1" ht="15" customHeight="1">
      <c r="A12" s="28"/>
      <c r="B12" s="31"/>
      <c r="C12" s="35"/>
      <c r="D12" s="486"/>
      <c r="E12" s="487"/>
      <c r="F12" s="487"/>
      <c r="G12" s="488"/>
    </row>
    <row r="13" spans="1:8" s="29" customFormat="1" ht="15" customHeight="1">
      <c r="A13" s="28"/>
      <c r="B13" s="31"/>
      <c r="C13" s="32" t="s">
        <v>73</v>
      </c>
      <c r="D13" s="489" t="s">
        <v>770</v>
      </c>
      <c r="E13" s="490"/>
      <c r="F13" s="490"/>
      <c r="G13" s="491"/>
    </row>
    <row r="14" spans="1:8" s="29" customFormat="1" ht="15" customHeight="1">
      <c r="A14" s="28"/>
      <c r="B14" s="31"/>
      <c r="C14" s="32" t="s">
        <v>156</v>
      </c>
      <c r="D14" s="489" t="s">
        <v>771</v>
      </c>
      <c r="E14" s="503"/>
      <c r="F14" s="490" t="s">
        <v>771</v>
      </c>
      <c r="G14" s="491"/>
    </row>
    <row r="15" spans="1:8" s="29" customFormat="1" ht="15" customHeight="1" thickBot="1">
      <c r="A15" s="28"/>
      <c r="B15" s="31"/>
      <c r="C15" s="32" t="s">
        <v>106</v>
      </c>
      <c r="D15" s="504" t="s">
        <v>205</v>
      </c>
      <c r="E15" s="505"/>
      <c r="F15" s="506" t="s">
        <v>205</v>
      </c>
      <c r="G15" s="507"/>
    </row>
    <row r="16" spans="1:8" s="29" customFormat="1" ht="15" customHeight="1" thickBot="1">
      <c r="A16" s="28"/>
      <c r="B16" s="480" t="s">
        <v>70</v>
      </c>
      <c r="C16" s="481"/>
      <c r="D16" s="482" t="str">
        <f>IF(AND(D13="YES",D14="PASS",D15="NO"),"PASS","FAIL")</f>
        <v>PASS</v>
      </c>
      <c r="E16" s="483"/>
      <c r="F16" s="484" t="str">
        <f>IF(AND(D13="YES",F14="PASS",F15="NO"),"PASS","FAIL")</f>
        <v>PASS</v>
      </c>
      <c r="G16" s="485"/>
    </row>
    <row r="17" spans="1:7" s="29" customFormat="1" ht="15" customHeight="1" thickBot="1">
      <c r="A17" s="28"/>
      <c r="B17" s="28"/>
      <c r="C17" s="30"/>
      <c r="D17" s="28"/>
      <c r="E17" s="28"/>
      <c r="F17" s="28"/>
      <c r="G17" s="28"/>
    </row>
    <row r="18" spans="1:7" s="29" customFormat="1" ht="15" customHeight="1">
      <c r="A18" s="28"/>
      <c r="B18" s="33" t="s">
        <v>107</v>
      </c>
      <c r="C18" s="34"/>
      <c r="D18" s="498"/>
      <c r="E18" s="499"/>
      <c r="F18" s="500"/>
      <c r="G18" s="501"/>
    </row>
    <row r="19" spans="1:7" s="29" customFormat="1" ht="15" customHeight="1">
      <c r="A19" s="28"/>
      <c r="B19" s="68">
        <v>1</v>
      </c>
      <c r="C19" s="42">
        <v>10</v>
      </c>
      <c r="D19" s="62">
        <v>10</v>
      </c>
      <c r="E19" s="249">
        <f>IF(D19="",0,ROUND(($C19-IF(D19&gt;$C19,$C19,D19))/$C19*1,Round))</f>
        <v>0</v>
      </c>
      <c r="F19" s="502"/>
      <c r="G19" s="488"/>
    </row>
    <row r="20" spans="1:7" s="29" customFormat="1" ht="15" customHeight="1">
      <c r="A20" s="28"/>
      <c r="B20" s="68">
        <v>2</v>
      </c>
      <c r="C20" s="42">
        <v>15</v>
      </c>
      <c r="D20" s="62">
        <v>15</v>
      </c>
      <c r="E20" s="249">
        <f>IF(D20="",0,ROUND(($C20-IF(D20&gt;$C20,$C20,D20))/$C20*1,Round))</f>
        <v>0</v>
      </c>
      <c r="F20" s="502"/>
      <c r="G20" s="488"/>
    </row>
    <row r="21" spans="1:7" s="29" customFormat="1" ht="15" customHeight="1">
      <c r="A21" s="28"/>
      <c r="B21" s="68">
        <v>1</v>
      </c>
      <c r="C21" s="42">
        <v>20</v>
      </c>
      <c r="D21" s="62">
        <v>0</v>
      </c>
      <c r="E21" s="249">
        <f>IF(D21="",0,ROUND(($C21-IF(D21&gt;$C21,$C21,D21))/$C21*1,Round))</f>
        <v>1</v>
      </c>
      <c r="F21" s="502"/>
      <c r="G21" s="488"/>
    </row>
    <row r="22" spans="1:7" s="29" customFormat="1" ht="15" customHeight="1">
      <c r="A22" s="28"/>
      <c r="B22" s="68">
        <v>2</v>
      </c>
      <c r="C22" s="42">
        <v>25</v>
      </c>
      <c r="D22" s="62">
        <v>0</v>
      </c>
      <c r="E22" s="249">
        <f>IF(D22="",0,ROUND(($C22-IF(D22&gt;$C22,$C22,D22))/$C22*1,Round))</f>
        <v>1</v>
      </c>
      <c r="F22" s="502"/>
      <c r="G22" s="488"/>
    </row>
    <row r="23" spans="1:7" s="29" customFormat="1" ht="15" customHeight="1">
      <c r="A23" s="28"/>
      <c r="B23" s="68">
        <v>2</v>
      </c>
      <c r="C23" s="42">
        <v>30</v>
      </c>
      <c r="D23" s="62">
        <v>15.6</v>
      </c>
      <c r="E23" s="249">
        <f>IF(D23="",0,ROUND(($C23-IF(D23&gt;$C23,$C23,D23))/$C23*2,Round))</f>
        <v>0.96</v>
      </c>
      <c r="F23" s="502"/>
      <c r="G23" s="488"/>
    </row>
    <row r="24" spans="1:7" s="29" customFormat="1" ht="15" customHeight="1">
      <c r="A24" s="28"/>
      <c r="B24" s="68">
        <v>3</v>
      </c>
      <c r="C24" s="42">
        <v>35</v>
      </c>
      <c r="D24" s="62">
        <v>17</v>
      </c>
      <c r="E24" s="249">
        <f>IF(D24="",0,ROUND(($C24-IF(D24&gt;$C24,$C24,D24))/$C24*3,Round))</f>
        <v>1.5429999999999999</v>
      </c>
      <c r="F24" s="502"/>
      <c r="G24" s="488"/>
    </row>
    <row r="25" spans="1:7" s="29" customFormat="1" ht="15" customHeight="1">
      <c r="A25" s="28"/>
      <c r="B25" s="68">
        <v>3</v>
      </c>
      <c r="C25" s="42">
        <v>40</v>
      </c>
      <c r="D25" s="62">
        <v>18</v>
      </c>
      <c r="E25" s="249">
        <f>IF(D25="",0,ROUND(($C25-IF(D25&gt;$C25,$C25,D25))/$C25*3,Round))</f>
        <v>1.65</v>
      </c>
      <c r="F25" s="502"/>
      <c r="G25" s="488"/>
    </row>
    <row r="26" spans="1:7" s="29" customFormat="1" ht="15" customHeight="1">
      <c r="A26" s="28"/>
      <c r="B26" s="31"/>
      <c r="C26" s="42">
        <v>45</v>
      </c>
      <c r="D26" s="62">
        <v>28.7</v>
      </c>
      <c r="E26" s="249">
        <f>IF(D26="",0,IF(D26&lt;=(C26-20),3,0))</f>
        <v>0</v>
      </c>
      <c r="F26" s="502"/>
      <c r="G26" s="488"/>
    </row>
    <row r="27" spans="1:7" s="29" customFormat="1" ht="15" customHeight="1">
      <c r="A27" s="28"/>
      <c r="B27" s="31"/>
      <c r="C27" s="42">
        <v>50</v>
      </c>
      <c r="D27" s="62">
        <v>30</v>
      </c>
      <c r="E27" s="249">
        <f>IF(D27="",0,IF(D27&lt;=(C27-20),2,0))</f>
        <v>2</v>
      </c>
      <c r="F27" s="502"/>
      <c r="G27" s="488"/>
    </row>
    <row r="28" spans="1:7" s="29" customFormat="1" ht="15" customHeight="1">
      <c r="A28" s="28"/>
      <c r="B28" s="31"/>
      <c r="C28" s="42">
        <v>55</v>
      </c>
      <c r="D28" s="62" t="s">
        <v>814</v>
      </c>
      <c r="E28" s="249">
        <f>IF(D28="",0,IF(D28&lt;=(C28-20),2,0))</f>
        <v>0</v>
      </c>
      <c r="F28" s="502"/>
      <c r="G28" s="488"/>
    </row>
    <row r="29" spans="1:7" s="29" customFormat="1" ht="15" customHeight="1" thickBot="1">
      <c r="A29" s="28"/>
      <c r="B29" s="31"/>
      <c r="C29" s="42">
        <v>60</v>
      </c>
      <c r="D29" s="62" t="s">
        <v>814</v>
      </c>
      <c r="E29" s="249">
        <f>IF(D29="",0,IF(D29&lt;=(C29-20),1,0))</f>
        <v>0</v>
      </c>
      <c r="F29" s="508"/>
      <c r="G29" s="509"/>
    </row>
    <row r="30" spans="1:7" s="29" customFormat="1" ht="15" customHeight="1" thickBot="1">
      <c r="A30" s="28"/>
      <c r="B30" s="510" t="s">
        <v>108</v>
      </c>
      <c r="C30" s="511"/>
      <c r="D30" s="512">
        <f>IF((COUNTBLANK(D19:D25)+COUNTBLANK(D26:D29))&gt;0,0,SUM(E19:E25,E26:E29))</f>
        <v>0</v>
      </c>
      <c r="E30" s="513"/>
      <c r="F30" s="514"/>
      <c r="G30" s="515"/>
    </row>
    <row r="31" spans="1:7" s="29" customFormat="1" ht="15" customHeight="1" thickBot="1">
      <c r="A31" s="28"/>
      <c r="B31" s="28"/>
      <c r="C31" s="30"/>
      <c r="D31" s="28"/>
      <c r="E31" s="28"/>
      <c r="F31" s="28"/>
      <c r="G31" s="28"/>
    </row>
    <row r="32" spans="1:7" s="29" customFormat="1" ht="15" customHeight="1">
      <c r="A32" s="28"/>
      <c r="B32" s="33" t="s">
        <v>109</v>
      </c>
      <c r="C32" s="34"/>
      <c r="D32" s="498"/>
      <c r="E32" s="499"/>
      <c r="F32" s="500"/>
      <c r="G32" s="501"/>
    </row>
    <row r="33" spans="1:7" s="29" customFormat="1" ht="15" customHeight="1">
      <c r="A33" s="28"/>
      <c r="B33" s="68">
        <v>1</v>
      </c>
      <c r="C33" s="42">
        <v>10</v>
      </c>
      <c r="D33" s="62">
        <v>10</v>
      </c>
      <c r="E33" s="249">
        <f>IF(D33="",0,ROUND(($C33-IF(D33&gt;$C33,$C33,D33))/$C33*1,Round))</f>
        <v>0</v>
      </c>
      <c r="F33" s="362"/>
      <c r="G33" s="76">
        <f>IF(F33="",0,ROUND(($C33-IF(F33&gt;$C33,$C33,F33))/$C33*1,Round))</f>
        <v>0</v>
      </c>
    </row>
    <row r="34" spans="1:7" s="29" customFormat="1" ht="15" customHeight="1">
      <c r="A34" s="28"/>
      <c r="B34" s="68">
        <v>2</v>
      </c>
      <c r="C34" s="42">
        <v>15</v>
      </c>
      <c r="D34" s="62">
        <v>15</v>
      </c>
      <c r="E34" s="249">
        <f>IF(D34="",0,ROUND(($C34-IF(D34&gt;$C34,$C34,D34))/$C34*1,Round))</f>
        <v>0</v>
      </c>
      <c r="F34" s="362"/>
      <c r="G34" s="76">
        <f>IF(F34="",0,ROUND(($C34-IF(F34&gt;$C34,$C34,F34))/$C34*1,Round))</f>
        <v>0</v>
      </c>
    </row>
    <row r="35" spans="1:7" s="29" customFormat="1" ht="15" customHeight="1">
      <c r="A35" s="28"/>
      <c r="B35" s="68">
        <v>1</v>
      </c>
      <c r="C35" s="42">
        <v>20</v>
      </c>
      <c r="D35" s="62">
        <v>0</v>
      </c>
      <c r="E35" s="249">
        <f>IF(D35="",0,ROUND(($C35-IF(D35&gt;$C35,$C35,D35))/$C35*1,Round))</f>
        <v>1</v>
      </c>
      <c r="F35" s="361"/>
      <c r="G35" s="76">
        <f>IF(F35="",0,ROUND(($C35-IF(F35&gt;$C35,$C35,F35))/$C35*1,Round))</f>
        <v>0</v>
      </c>
    </row>
    <row r="36" spans="1:7" s="29" customFormat="1" ht="15" customHeight="1">
      <c r="A36" s="28"/>
      <c r="B36" s="68">
        <v>2</v>
      </c>
      <c r="C36" s="42">
        <v>25</v>
      </c>
      <c r="D36" s="62">
        <v>9999</v>
      </c>
      <c r="E36" s="249">
        <f>IF(D36="",0,ROUND(($C36-IF(D36&gt;$C36,$C36,D36))/$C36*1,Round))</f>
        <v>0</v>
      </c>
      <c r="F36" s="361"/>
      <c r="G36" s="76">
        <f>IF(F36="",0,ROUND(($C36-IF(F36&gt;$C36,$C36,F36))/$C36*1,Round))</f>
        <v>0</v>
      </c>
    </row>
    <row r="37" spans="1:7" s="29" customFormat="1" ht="15" customHeight="1">
      <c r="A37" s="28"/>
      <c r="B37" s="68">
        <v>2</v>
      </c>
      <c r="C37" s="42">
        <v>30</v>
      </c>
      <c r="D37" s="62">
        <v>0</v>
      </c>
      <c r="E37" s="249">
        <f>IF(D37="",0,ROUND(($C37-IF(D37&gt;$C37,$C37,D37))/$C37*2,Round))</f>
        <v>2</v>
      </c>
      <c r="F37" s="361"/>
      <c r="G37" s="76">
        <f>IF(F37="",0,ROUND(($C37-IF(F37&gt;$C37,$C37,F37))/$C37*1,Round))</f>
        <v>0</v>
      </c>
    </row>
    <row r="38" spans="1:7" s="29" customFormat="1" ht="15" customHeight="1">
      <c r="A38" s="28"/>
      <c r="B38" s="68">
        <v>3</v>
      </c>
      <c r="C38" s="42">
        <v>35</v>
      </c>
      <c r="D38" s="62">
        <v>17.8</v>
      </c>
      <c r="E38" s="249">
        <f>IF(D38="",0,ROUND(($C38-IF(D38&gt;$C38,$C38,D38))/$C38*3,Round))</f>
        <v>1.474</v>
      </c>
      <c r="F38" s="361"/>
      <c r="G38" s="76">
        <f>IF(F38="",0,ROUND(($C38-IF(F38&gt;$C38,$C38,F38))/$C38*2,Round))</f>
        <v>0</v>
      </c>
    </row>
    <row r="39" spans="1:7" s="29" customFormat="1" ht="15" customHeight="1">
      <c r="A39" s="28"/>
      <c r="B39" s="68">
        <v>3</v>
      </c>
      <c r="C39" s="42">
        <v>40</v>
      </c>
      <c r="D39" s="62">
        <v>20.6</v>
      </c>
      <c r="E39" s="249">
        <f>IF(D39="",0,ROUND(($C39-IF(D39&gt;$C39,$C39,D39))/$C39*3,Round))</f>
        <v>1.4550000000000001</v>
      </c>
      <c r="F39" s="361"/>
      <c r="G39" s="76">
        <f>IF(F39="",0,ROUND(($C39-IF(F39&gt;$C39,$C39,F39))/$C39*2,Round))</f>
        <v>0</v>
      </c>
    </row>
    <row r="40" spans="1:7" s="29" customFormat="1" ht="15" customHeight="1">
      <c r="A40" s="28"/>
      <c r="B40" s="31"/>
      <c r="C40" s="42">
        <v>45</v>
      </c>
      <c r="D40" s="62">
        <v>26.8</v>
      </c>
      <c r="E40" s="249">
        <f>IF(D40="",0,IF(D40&lt;=(C40-20),3,0))</f>
        <v>0</v>
      </c>
      <c r="F40" s="361"/>
      <c r="G40" s="76">
        <f>IF(F40="",0,IF(F40&lt;=(C40-20),3,0))</f>
        <v>0</v>
      </c>
    </row>
    <row r="41" spans="1:7" s="29" customFormat="1" ht="15" customHeight="1">
      <c r="A41" s="28"/>
      <c r="B41" s="31"/>
      <c r="C41" s="42">
        <v>50</v>
      </c>
      <c r="D41" s="62" t="s">
        <v>814</v>
      </c>
      <c r="E41" s="249">
        <f>IF(D41="",0,IF(D41&lt;=(C41-20),2,0))</f>
        <v>0</v>
      </c>
      <c r="F41" s="361"/>
      <c r="G41" s="76">
        <f>IF(F41="",0,IF(F41&lt;=(C41-20),3,0))</f>
        <v>0</v>
      </c>
    </row>
    <row r="42" spans="1:7" s="29" customFormat="1" ht="15" customHeight="1">
      <c r="A42" s="28"/>
      <c r="B42" s="31"/>
      <c r="C42" s="42">
        <v>55</v>
      </c>
      <c r="D42" s="62" t="s">
        <v>814</v>
      </c>
      <c r="E42" s="249">
        <f>IF(D42="",0,IF(D42&lt;=(C42-20),2,0))</f>
        <v>0</v>
      </c>
      <c r="F42" s="361"/>
      <c r="G42" s="76">
        <f>IF(F42="",0,IF(F42&lt;=(C42-20),3,0))</f>
        <v>0</v>
      </c>
    </row>
    <row r="43" spans="1:7" s="29" customFormat="1" ht="15" customHeight="1" thickBot="1">
      <c r="A43" s="28"/>
      <c r="B43" s="31"/>
      <c r="C43" s="42">
        <v>60</v>
      </c>
      <c r="D43" s="62" t="s">
        <v>814</v>
      </c>
      <c r="E43" s="249">
        <f>IF(D43="",0,IF(D43&lt;=(C43-20),1,0))</f>
        <v>0</v>
      </c>
      <c r="F43" s="361"/>
      <c r="G43" s="76">
        <f>IF(F43="",0,IF(F43&lt;=(C43-20),2,0))</f>
        <v>0</v>
      </c>
    </row>
    <row r="44" spans="1:7" s="29" customFormat="1" ht="15" customHeight="1" thickBot="1">
      <c r="A44" s="28"/>
      <c r="B44" s="510" t="s">
        <v>110</v>
      </c>
      <c r="C44" s="511"/>
      <c r="D44" s="512">
        <f>IF((COUNTBLANK(D33:D39)+COUNTBLANK(D40:D43))&gt;0,0,SUM(E33:E39,E40:E43))</f>
        <v>0</v>
      </c>
      <c r="E44" s="513"/>
      <c r="F44" s="514">
        <f>IF((COUNTBLANK(F33:F39)+COUNTBLANK(F40:F43))&gt;0,0,SUM(G33:G39,G40:G43))</f>
        <v>0</v>
      </c>
      <c r="G44" s="515"/>
    </row>
    <row r="45" spans="1:7" s="29" customFormat="1" ht="15" customHeight="1" thickBot="1">
      <c r="A45" s="28"/>
      <c r="B45" s="28"/>
      <c r="C45" s="30"/>
      <c r="D45" s="28"/>
      <c r="E45" s="28"/>
      <c r="F45" s="28"/>
      <c r="G45" s="28"/>
    </row>
    <row r="46" spans="1:7" s="29" customFormat="1" ht="15" customHeight="1">
      <c r="A46" s="28"/>
      <c r="B46" s="33" t="s">
        <v>111</v>
      </c>
      <c r="C46" s="34"/>
      <c r="D46" s="498"/>
      <c r="E46" s="499"/>
      <c r="F46" s="500"/>
      <c r="G46" s="501"/>
    </row>
    <row r="47" spans="1:7" s="29" customFormat="1" ht="15" customHeight="1">
      <c r="A47" s="28"/>
      <c r="B47" s="68">
        <v>1</v>
      </c>
      <c r="C47" s="42">
        <v>10</v>
      </c>
      <c r="D47" s="62">
        <v>10</v>
      </c>
      <c r="E47" s="249">
        <f>IF(D47="",0,ROUND(($C47-IF(D47&gt;$C47,$C47,D47))/$C47*1,Round))</f>
        <v>0</v>
      </c>
      <c r="F47" s="361"/>
      <c r="G47" s="76">
        <f>IF(F47="",0,ROUND(($C47-IF(F47&gt;$C47,$C47,F47))/$C47*1,Round))</f>
        <v>0</v>
      </c>
    </row>
    <row r="48" spans="1:7" s="29" customFormat="1" ht="15" customHeight="1">
      <c r="A48" s="28"/>
      <c r="B48" s="68">
        <v>1</v>
      </c>
      <c r="C48" s="42">
        <v>15</v>
      </c>
      <c r="D48" s="62">
        <v>15</v>
      </c>
      <c r="E48" s="249">
        <f>IF(D48="",0,ROUND(($C48-IF(D48&gt;$C48,$C48,D48))/$C48*1,Round))</f>
        <v>0</v>
      </c>
      <c r="F48" s="362"/>
      <c r="G48" s="76">
        <f>IF(F48="",0,ROUND(($C48-IF(F48&gt;$C48,$C48,F48))/$C48*1,Round))</f>
        <v>0</v>
      </c>
    </row>
    <row r="49" spans="1:7" s="29" customFormat="1" ht="15" customHeight="1">
      <c r="A49" s="28"/>
      <c r="B49" s="68">
        <v>2</v>
      </c>
      <c r="C49" s="42">
        <v>20</v>
      </c>
      <c r="D49" s="62">
        <v>0</v>
      </c>
      <c r="E49" s="249">
        <f>IF(D49="",0,ROUND(($C49-IF(D49&gt;$C49,$C49,D49))/$C49*1,Round))</f>
        <v>1</v>
      </c>
      <c r="F49" s="362"/>
      <c r="G49" s="76">
        <f>IF(F49="",0,ROUND(($C49-IF(F49&gt;$C49,$C49,F49))/$C49*1,Round))</f>
        <v>0</v>
      </c>
    </row>
    <row r="50" spans="1:7" s="29" customFormat="1" ht="15" customHeight="1">
      <c r="A50" s="28"/>
      <c r="B50" s="68">
        <v>2</v>
      </c>
      <c r="C50" s="42">
        <v>25</v>
      </c>
      <c r="D50" s="62">
        <v>9999</v>
      </c>
      <c r="E50" s="249">
        <f>IF(D50="",0,ROUND(($C50-IF(D50&gt;$C50,$C50,D50))/$C50*1,Round))</f>
        <v>0</v>
      </c>
      <c r="F50" s="361"/>
      <c r="G50" s="76">
        <f>IF(F50="",0,ROUND(($C50-IF(F50&gt;$C50,$C50,F50))/$C50*1,Round))</f>
        <v>0</v>
      </c>
    </row>
    <row r="51" spans="1:7" s="29" customFormat="1" ht="15" customHeight="1">
      <c r="A51" s="28"/>
      <c r="B51" s="68">
        <v>2</v>
      </c>
      <c r="C51" s="42">
        <v>30</v>
      </c>
      <c r="D51" s="62">
        <v>0</v>
      </c>
      <c r="E51" s="249">
        <f>IF(D51="",0,ROUND(($C51-IF(D51&gt;$C51,$C51,D51))/$C51*2,Round))</f>
        <v>2</v>
      </c>
      <c r="F51" s="361"/>
      <c r="G51" s="76">
        <f>IF(F51="",0,ROUND(($C51-IF(F51&gt;$C51,$C51,F51))/$C51*1,Round))</f>
        <v>0</v>
      </c>
    </row>
    <row r="52" spans="1:7" s="29" customFormat="1" ht="15" customHeight="1">
      <c r="A52" s="28"/>
      <c r="B52" s="68">
        <v>3</v>
      </c>
      <c r="C52" s="42">
        <v>35</v>
      </c>
      <c r="D52" s="62">
        <v>13.6</v>
      </c>
      <c r="E52" s="249">
        <f>IF(D52="",0,ROUND(($C52-IF(D52&gt;$C52,$C52,D52))/$C52*3,Round))</f>
        <v>1.8340000000000001</v>
      </c>
      <c r="F52" s="361"/>
      <c r="G52" s="76">
        <f>IF(F52="",0,ROUND(($C52-IF(F52&gt;$C52,$C52,F52))/$C52*2,Round))</f>
        <v>0</v>
      </c>
    </row>
    <row r="53" spans="1:7" s="29" customFormat="1" ht="15" customHeight="1">
      <c r="A53" s="28"/>
      <c r="B53" s="68">
        <v>3</v>
      </c>
      <c r="C53" s="42">
        <v>40</v>
      </c>
      <c r="D53" s="62">
        <v>20.9</v>
      </c>
      <c r="E53" s="249">
        <f>IF(D53="",0,ROUND(($C53-IF(D53&gt;$C53,$C53,D53))/$C53*3,Round))</f>
        <v>1.4330000000000001</v>
      </c>
      <c r="F53" s="361"/>
      <c r="G53" s="76">
        <f>IF(F53="",0,ROUND(($C53-IF(F53&gt;$C53,$C53,F53))/$C53*2,Round))</f>
        <v>0</v>
      </c>
    </row>
    <row r="54" spans="1:7" s="29" customFormat="1" ht="15" customHeight="1">
      <c r="A54" s="28"/>
      <c r="B54" s="31"/>
      <c r="C54" s="42">
        <v>45</v>
      </c>
      <c r="D54" s="62">
        <v>25</v>
      </c>
      <c r="E54" s="249">
        <f>IF(D54="",0,IF(D54&lt;=(C54-20),3,0))</f>
        <v>3</v>
      </c>
      <c r="F54" s="361"/>
      <c r="G54" s="76">
        <f>IF(F54="",0,IF(F54&lt;=(C54-20),3,0))</f>
        <v>0</v>
      </c>
    </row>
    <row r="55" spans="1:7" s="29" customFormat="1" ht="15" customHeight="1">
      <c r="A55" s="28"/>
      <c r="B55" s="31"/>
      <c r="C55" s="42">
        <v>50</v>
      </c>
      <c r="D55" s="62">
        <v>23.9</v>
      </c>
      <c r="E55" s="249">
        <f>IF(D55="",0,IF(D55&lt;=(C55-20),2,0))</f>
        <v>2</v>
      </c>
      <c r="F55" s="361"/>
      <c r="G55" s="76">
        <f>IF(F55="",0,IF(F55&lt;=(C55-20),3,0))</f>
        <v>0</v>
      </c>
    </row>
    <row r="56" spans="1:7" s="29" customFormat="1" ht="15" customHeight="1">
      <c r="A56" s="28"/>
      <c r="B56" s="31"/>
      <c r="C56" s="42">
        <v>55</v>
      </c>
      <c r="D56" s="62" t="s">
        <v>814</v>
      </c>
      <c r="E56" s="249">
        <f>IF(D56="",0,IF(D56&lt;=(C56-20),2,0))</f>
        <v>0</v>
      </c>
      <c r="F56" s="361"/>
      <c r="G56" s="76">
        <f>IF(F56="",0,IF(F56&lt;=(C56-20),3,0))</f>
        <v>0</v>
      </c>
    </row>
    <row r="57" spans="1:7" s="29" customFormat="1" ht="15" customHeight="1" thickBot="1">
      <c r="A57" s="28"/>
      <c r="B57" s="31"/>
      <c r="C57" s="42">
        <v>60</v>
      </c>
      <c r="D57" s="62" t="s">
        <v>814</v>
      </c>
      <c r="E57" s="249">
        <f>IF(D57="",0,IF(D57&lt;=(C57-20),1,0))</f>
        <v>0</v>
      </c>
      <c r="F57" s="361"/>
      <c r="G57" s="76">
        <f>IF(F57="",0,IF(F57&lt;=(C57-20),2,0))</f>
        <v>0</v>
      </c>
    </row>
    <row r="58" spans="1:7" s="29" customFormat="1" ht="15" customHeight="1" thickBot="1">
      <c r="A58" s="28"/>
      <c r="B58" s="510" t="s">
        <v>112</v>
      </c>
      <c r="C58" s="511"/>
      <c r="D58" s="512">
        <f>IF((COUNTBLANK(D47:D53)+COUNTBLANK(D54:D57))&gt;0,0,SUM(E47:E53,E54:E57))</f>
        <v>0</v>
      </c>
      <c r="E58" s="513"/>
      <c r="F58" s="514">
        <f>IF((COUNTBLANK(F47:F53)+COUNTBLANK(F54:F57))&gt;0,0,SUM(G47:G53,G54:G57))</f>
        <v>0</v>
      </c>
      <c r="G58" s="515"/>
    </row>
    <row r="59" spans="1:7" s="29" customFormat="1" ht="15" customHeight="1" thickBot="1">
      <c r="A59" s="28"/>
      <c r="B59" s="28"/>
      <c r="C59" s="30"/>
      <c r="D59" s="28"/>
      <c r="E59" s="28"/>
      <c r="F59" s="28"/>
      <c r="G59" s="28"/>
    </row>
    <row r="60" spans="1:7" s="29" customFormat="1" ht="15" customHeight="1">
      <c r="A60" s="28"/>
      <c r="B60" s="33" t="s">
        <v>113</v>
      </c>
      <c r="C60" s="34"/>
      <c r="D60" s="498"/>
      <c r="E60" s="499"/>
      <c r="F60" s="500"/>
      <c r="G60" s="501"/>
    </row>
    <row r="61" spans="1:7" s="29" customFormat="1" ht="15" customHeight="1">
      <c r="A61" s="28"/>
      <c r="B61" s="68">
        <v>1</v>
      </c>
      <c r="C61" s="42">
        <v>10</v>
      </c>
      <c r="D61" s="62">
        <v>10</v>
      </c>
      <c r="E61" s="249">
        <f>IF(D61="",0,ROUND(($C61-IF(D61&gt;$C61,$C61,D61))/$C61*1,Round))</f>
        <v>0</v>
      </c>
      <c r="F61" s="502"/>
      <c r="G61" s="488"/>
    </row>
    <row r="62" spans="1:7" s="29" customFormat="1" ht="15" customHeight="1">
      <c r="A62" s="28"/>
      <c r="B62" s="68">
        <v>2</v>
      </c>
      <c r="C62" s="42">
        <v>15</v>
      </c>
      <c r="D62" s="62">
        <v>15</v>
      </c>
      <c r="E62" s="249">
        <f>IF(D62="",0,ROUND(($C62-IF(D62&gt;$C62,$C62,D62))/$C62*1,Round))</f>
        <v>0</v>
      </c>
      <c r="F62" s="502"/>
      <c r="G62" s="488"/>
    </row>
    <row r="63" spans="1:7" s="29" customFormat="1" ht="15" customHeight="1">
      <c r="A63" s="28"/>
      <c r="B63" s="68">
        <v>2</v>
      </c>
      <c r="C63" s="42">
        <v>20</v>
      </c>
      <c r="D63" s="62">
        <v>0</v>
      </c>
      <c r="E63" s="249">
        <f>IF(D63="",0,ROUND(($C63-IF(D63&gt;$C63,$C63,D63))/$C63*1,Round))</f>
        <v>1</v>
      </c>
      <c r="F63" s="502"/>
      <c r="G63" s="488"/>
    </row>
    <row r="64" spans="1:7" s="29" customFormat="1" ht="15" customHeight="1">
      <c r="A64" s="28"/>
      <c r="B64" s="68">
        <v>2</v>
      </c>
      <c r="C64" s="42">
        <v>25</v>
      </c>
      <c r="D64" s="62">
        <v>0</v>
      </c>
      <c r="E64" s="249">
        <f>IF(D64="",0,ROUND(($C64-IF(D64&gt;$C64,$C64,D64))/$C64*1,Round))</f>
        <v>1</v>
      </c>
      <c r="F64" s="502"/>
      <c r="G64" s="488"/>
    </row>
    <row r="65" spans="1:9" s="29" customFormat="1" ht="15" customHeight="1">
      <c r="A65" s="28"/>
      <c r="B65" s="68">
        <v>2</v>
      </c>
      <c r="C65" s="42">
        <v>30</v>
      </c>
      <c r="D65" s="62">
        <v>13.8</v>
      </c>
      <c r="E65" s="249">
        <f>IF(D65="",0,ROUND(($C65-IF(D65&gt;$C65,$C65,D65))/$C65*2,Round))</f>
        <v>1.08</v>
      </c>
      <c r="F65" s="502"/>
      <c r="G65" s="488"/>
    </row>
    <row r="66" spans="1:9" s="29" customFormat="1" ht="15" customHeight="1">
      <c r="A66" s="28"/>
      <c r="B66" s="68">
        <v>3</v>
      </c>
      <c r="C66" s="42">
        <v>35</v>
      </c>
      <c r="D66" s="62">
        <v>21.8</v>
      </c>
      <c r="E66" s="249">
        <f>IF(D66="",0,ROUND(($C66-IF(D66&gt;$C66,$C66,D66))/$C66*3,Round))</f>
        <v>1.131</v>
      </c>
      <c r="F66" s="502"/>
      <c r="G66" s="488"/>
    </row>
    <row r="67" spans="1:9" s="29" customFormat="1" ht="15" customHeight="1">
      <c r="A67" s="28"/>
      <c r="B67" s="68">
        <v>3</v>
      </c>
      <c r="C67" s="42">
        <v>40</v>
      </c>
      <c r="D67" s="62">
        <v>38.700000000000003</v>
      </c>
      <c r="E67" s="249">
        <f>IF(D67="",0,ROUND(($C67-IF(D67&gt;$C67,$C67,D67))/$C67*3,Round))</f>
        <v>9.7000000000000003E-2</v>
      </c>
      <c r="F67" s="502"/>
      <c r="G67" s="488"/>
    </row>
    <row r="68" spans="1:9" s="29" customFormat="1" ht="15" customHeight="1">
      <c r="A68" s="28"/>
      <c r="B68" s="31"/>
      <c r="C68" s="42">
        <v>45</v>
      </c>
      <c r="D68" s="62" t="s">
        <v>814</v>
      </c>
      <c r="E68" s="249">
        <f>IF(D68="",0,IF(D68&lt;=(C68-20),3,0))</f>
        <v>0</v>
      </c>
      <c r="F68" s="502"/>
      <c r="G68" s="488"/>
    </row>
    <row r="69" spans="1:9" s="29" customFormat="1" ht="15" customHeight="1">
      <c r="A69" s="28"/>
      <c r="B69" s="31"/>
      <c r="C69" s="42">
        <v>50</v>
      </c>
      <c r="D69" s="62" t="s">
        <v>814</v>
      </c>
      <c r="E69" s="249">
        <f>IF(D69="",0,IF(D69&lt;=(C69-20),2,0))</f>
        <v>0</v>
      </c>
      <c r="F69" s="502"/>
      <c r="G69" s="488"/>
    </row>
    <row r="70" spans="1:9" s="29" customFormat="1" ht="15" customHeight="1">
      <c r="A70" s="28"/>
      <c r="B70" s="31"/>
      <c r="C70" s="42">
        <v>55</v>
      </c>
      <c r="D70" s="62" t="s">
        <v>814</v>
      </c>
      <c r="E70" s="249">
        <f>IF(D70="",0,IF(D70&lt;=(C70-20),2,0))</f>
        <v>0</v>
      </c>
      <c r="F70" s="502"/>
      <c r="G70" s="488"/>
    </row>
    <row r="71" spans="1:9" s="29" customFormat="1" ht="15" customHeight="1" thickBot="1">
      <c r="A71" s="28"/>
      <c r="B71" s="31"/>
      <c r="C71" s="42">
        <v>60</v>
      </c>
      <c r="D71" s="62" t="s">
        <v>814</v>
      </c>
      <c r="E71" s="249">
        <f>IF(D71="",0,IF(D71&lt;=(C71-20),1,0))</f>
        <v>0</v>
      </c>
      <c r="F71" s="508"/>
      <c r="G71" s="509"/>
    </row>
    <row r="72" spans="1:9" s="29" customFormat="1" ht="15" customHeight="1" thickBot="1">
      <c r="A72" s="28"/>
      <c r="B72" s="510" t="s">
        <v>114</v>
      </c>
      <c r="C72" s="511"/>
      <c r="D72" s="512">
        <f>IF((COUNTBLANK(D61:D67)+COUNTBLANK(D68:D71))&gt;0,0,SUM(E61:E67,E68:E71))</f>
        <v>0</v>
      </c>
      <c r="E72" s="513"/>
      <c r="F72" s="514"/>
      <c r="G72" s="515"/>
    </row>
    <row r="73" spans="1:9" s="29" customFormat="1" ht="15" customHeight="1" thickBot="1">
      <c r="A73" s="28"/>
      <c r="B73" s="28"/>
      <c r="C73" s="30"/>
      <c r="D73" s="28"/>
      <c r="E73" s="28"/>
      <c r="F73" s="28"/>
      <c r="G73" s="28"/>
    </row>
    <row r="74" spans="1:9" s="29" customFormat="1" ht="15" customHeight="1">
      <c r="A74" s="28"/>
      <c r="B74" s="33" t="s">
        <v>719</v>
      </c>
      <c r="C74" s="63"/>
      <c r="D74" s="251" t="s">
        <v>720</v>
      </c>
      <c r="E74" s="252" t="s">
        <v>721</v>
      </c>
      <c r="F74" s="500"/>
      <c r="G74" s="501"/>
    </row>
    <row r="75" spans="1:9" s="29" customFormat="1" ht="15" customHeight="1">
      <c r="A75" s="28"/>
      <c r="B75" s="68">
        <v>1</v>
      </c>
      <c r="C75" s="253">
        <v>10</v>
      </c>
      <c r="D75" s="254"/>
      <c r="E75" s="250"/>
      <c r="F75" s="502"/>
      <c r="G75" s="488"/>
      <c r="I75" s="60"/>
    </row>
    <row r="76" spans="1:9" s="29" customFormat="1" ht="15" customHeight="1">
      <c r="A76" s="28"/>
      <c r="B76" s="68">
        <v>2</v>
      </c>
      <c r="C76" s="253">
        <v>15</v>
      </c>
      <c r="D76" s="254"/>
      <c r="E76" s="249"/>
      <c r="F76" s="502"/>
      <c r="G76" s="488"/>
    </row>
    <row r="77" spans="1:9" s="29" customFormat="1" ht="15" customHeight="1" thickBot="1">
      <c r="A77" s="28"/>
      <c r="B77" s="68">
        <v>2</v>
      </c>
      <c r="C77" s="253">
        <v>20</v>
      </c>
      <c r="D77" s="255"/>
      <c r="E77" s="249"/>
      <c r="F77" s="502"/>
      <c r="G77" s="488"/>
    </row>
    <row r="78" spans="1:9" s="29" customFormat="1" ht="15" customHeight="1" thickBot="1">
      <c r="A78" s="28"/>
      <c r="B78" s="510" t="s">
        <v>722</v>
      </c>
      <c r="C78" s="516"/>
      <c r="D78" s="512">
        <f>IF((COUNTBLANK(D75:D77)+COUNTBLANK(E75)&gt;0),0,COUNTIF(D75:D77,"=0")+COUNTIF(E75,"=0"))</f>
        <v>0</v>
      </c>
      <c r="E78" s="513"/>
      <c r="F78" s="514"/>
      <c r="G78" s="515"/>
    </row>
    <row r="79" spans="1:9" s="29" customFormat="1" ht="15" customHeight="1" thickBot="1">
      <c r="A79" s="28"/>
      <c r="B79" s="28"/>
      <c r="C79" s="30"/>
      <c r="D79" s="28"/>
      <c r="E79" s="28"/>
      <c r="F79" s="28"/>
      <c r="G79" s="28"/>
    </row>
    <row r="80" spans="1:9" s="29" customFormat="1" ht="15" customHeight="1">
      <c r="A80" s="28"/>
      <c r="B80" s="33" t="s">
        <v>723</v>
      </c>
      <c r="C80" s="63"/>
      <c r="D80" s="251" t="s">
        <v>724</v>
      </c>
      <c r="E80" s="252" t="s">
        <v>725</v>
      </c>
      <c r="F80" s="500"/>
      <c r="G80" s="501"/>
    </row>
    <row r="81" spans="1:7" s="29" customFormat="1" ht="15" customHeight="1">
      <c r="A81" s="28"/>
      <c r="B81" s="31"/>
      <c r="C81" s="256" t="s">
        <v>726</v>
      </c>
      <c r="D81" s="257"/>
      <c r="E81" s="234"/>
      <c r="F81" s="487"/>
      <c r="G81" s="488"/>
    </row>
    <row r="82" spans="1:7" s="29" customFormat="1" ht="15" customHeight="1">
      <c r="A82" s="28"/>
      <c r="B82" s="68">
        <v>1</v>
      </c>
      <c r="C82" s="253" t="s">
        <v>727</v>
      </c>
      <c r="D82" s="254"/>
      <c r="E82" s="249"/>
      <c r="F82" s="487"/>
      <c r="G82" s="488"/>
    </row>
    <row r="83" spans="1:7" s="29" customFormat="1" ht="15" customHeight="1">
      <c r="A83" s="28"/>
      <c r="B83" s="68">
        <v>2</v>
      </c>
      <c r="C83" s="253" t="s">
        <v>728</v>
      </c>
      <c r="D83" s="254"/>
      <c r="E83" s="258"/>
      <c r="F83" s="487"/>
      <c r="G83" s="488"/>
    </row>
    <row r="84" spans="1:7" s="29" customFormat="1" ht="15" customHeight="1">
      <c r="A84" s="28"/>
      <c r="B84" s="68">
        <v>2</v>
      </c>
      <c r="C84" s="253" t="s">
        <v>729</v>
      </c>
      <c r="D84" s="254"/>
      <c r="E84" s="249"/>
      <c r="F84" s="487"/>
      <c r="G84" s="488"/>
    </row>
    <row r="85" spans="1:7" s="29" customFormat="1" ht="15" customHeight="1">
      <c r="A85" s="28"/>
      <c r="B85" s="31"/>
      <c r="C85" s="256" t="s">
        <v>730</v>
      </c>
      <c r="D85" s="259"/>
      <c r="E85" s="260"/>
      <c r="F85" s="487"/>
      <c r="G85" s="488"/>
    </row>
    <row r="86" spans="1:7" s="29" customFormat="1" ht="15" customHeight="1">
      <c r="A86" s="28"/>
      <c r="B86" s="68">
        <v>1</v>
      </c>
      <c r="C86" s="253" t="s">
        <v>727</v>
      </c>
      <c r="D86" s="254"/>
      <c r="E86" s="249"/>
      <c r="F86" s="487"/>
      <c r="G86" s="488"/>
    </row>
    <row r="87" spans="1:7" s="29" customFormat="1" ht="15" customHeight="1">
      <c r="A87" s="28"/>
      <c r="B87" s="68">
        <v>2</v>
      </c>
      <c r="C87" s="253" t="s">
        <v>728</v>
      </c>
      <c r="D87" s="254"/>
      <c r="E87" s="258"/>
      <c r="F87" s="487"/>
      <c r="G87" s="488"/>
    </row>
    <row r="88" spans="1:7" s="29" customFormat="1" ht="15" customHeight="1" thickBot="1">
      <c r="A88" s="28"/>
      <c r="B88" s="68">
        <v>2</v>
      </c>
      <c r="C88" s="253" t="s">
        <v>729</v>
      </c>
      <c r="D88" s="254"/>
      <c r="E88" s="249"/>
      <c r="F88" s="487"/>
      <c r="G88" s="488"/>
    </row>
    <row r="89" spans="1:7" s="29" customFormat="1" ht="15" customHeight="1" thickBot="1">
      <c r="A89" s="28"/>
      <c r="B89" s="510" t="s">
        <v>731</v>
      </c>
      <c r="C89" s="516"/>
      <c r="D89" s="512">
        <f>IF(COUNTIF(D82:D84,"=0")=3,1,0)+IF(COUNTIF(E83,"=0")=1,1,0)+IF(COUNTIF(D86:D88,"=0")=3,1,0)+IF(COUNTIF(E87,"=0")=1,1,0)</f>
        <v>0</v>
      </c>
      <c r="E89" s="513"/>
      <c r="F89" s="514"/>
      <c r="G89" s="515"/>
    </row>
    <row r="90" spans="1:7" s="29" customFormat="1" ht="15" customHeight="1" thickBot="1">
      <c r="A90" s="28"/>
      <c r="B90" s="28"/>
      <c r="C90" s="30"/>
      <c r="D90" s="28"/>
      <c r="E90" s="28"/>
      <c r="F90" s="28"/>
      <c r="G90" s="28"/>
    </row>
    <row r="91" spans="1:7" s="29" customFormat="1" ht="15" customHeight="1">
      <c r="A91" s="28"/>
      <c r="B91" s="33" t="s">
        <v>115</v>
      </c>
      <c r="C91" s="34"/>
      <c r="D91" s="498"/>
      <c r="E91" s="499"/>
      <c r="F91" s="500"/>
      <c r="G91" s="501"/>
    </row>
    <row r="92" spans="1:7" s="29" customFormat="1" ht="15" customHeight="1">
      <c r="A92" s="28"/>
      <c r="B92" s="68">
        <v>1</v>
      </c>
      <c r="C92" s="42">
        <v>20</v>
      </c>
      <c r="D92" s="62">
        <v>0</v>
      </c>
      <c r="E92" s="249">
        <f>IF(D92="",0,ROUND((($C92-5)-(IF(D92&lt;=5,5,IF(D92&gt;$C92,$C92,D92))-5))/($C92-5)*$B92,Round))</f>
        <v>1</v>
      </c>
      <c r="F92" s="361"/>
      <c r="G92" s="76">
        <f>IF(F92="",0,ROUND((($C92-5)-(IF(F92&lt;=5,5,IF(F92&gt;$C92,$C92,F92))-5))/($C92-5)*$B92,Round))</f>
        <v>0</v>
      </c>
    </row>
    <row r="93" spans="1:7" s="29" customFormat="1" ht="15" customHeight="1">
      <c r="A93" s="28"/>
      <c r="B93" s="68">
        <v>1</v>
      </c>
      <c r="C93" s="42">
        <v>25</v>
      </c>
      <c r="D93" s="62">
        <v>9999</v>
      </c>
      <c r="E93" s="249">
        <f>IF(D93="",0,ROUND((($C93-5)-(IF(D93&lt;=5,5,IF(D93&gt;$C93,$C93,D93))-5))/($C93-5)*$B93,Round))</f>
        <v>0</v>
      </c>
      <c r="F93" s="361"/>
      <c r="G93" s="76">
        <f>IF(F93="",0,ROUND((($C93-5)-(IF(F93&lt;=5,5,IF(F93&gt;$C93,$C93,F93))-5))/($C93-5)*$B93,Round))</f>
        <v>0</v>
      </c>
    </row>
    <row r="94" spans="1:7" s="29" customFormat="1" ht="15" customHeight="1">
      <c r="A94" s="28"/>
      <c r="B94" s="68">
        <v>1</v>
      </c>
      <c r="C94" s="42">
        <v>30</v>
      </c>
      <c r="D94" s="62">
        <v>0</v>
      </c>
      <c r="E94" s="249">
        <f>IF(D94="",0,ROUND((($C94-5)-(IF(D94&lt;=5,5,IF(D94&gt;$C94,$C94,D94))-5))/($C94-5)*$B94,Round))</f>
        <v>1</v>
      </c>
      <c r="F94" s="361"/>
      <c r="G94" s="76">
        <f>IF(F94="",0,ROUND((($C94-5)-(IF(F94&lt;=5,5,IF(F94&gt;$C94,$C94,F94))-5))/($C94-5)*$B94,Round))</f>
        <v>0</v>
      </c>
    </row>
    <row r="95" spans="1:7" s="29" customFormat="1" ht="15" customHeight="1">
      <c r="A95" s="28"/>
      <c r="B95" s="68">
        <v>2</v>
      </c>
      <c r="C95" s="42">
        <v>35</v>
      </c>
      <c r="D95" s="62">
        <v>9999</v>
      </c>
      <c r="E95" s="249">
        <f>IF(D95="",0,ROUND((($C95-5)-(IF(D95&lt;=5,5,IF(D95&gt;$C95,$C95,D95))-5))/($C95-5)*$B95,Round))</f>
        <v>0</v>
      </c>
      <c r="F95" s="361"/>
      <c r="G95" s="76">
        <f>IF(F95="",0,ROUND((($C95-5)-(IF(F95&lt;=5,5,IF(F95&gt;$C95,$C95,F95))-5))/($C95-5)*$B95,Round))</f>
        <v>0</v>
      </c>
    </row>
    <row r="96" spans="1:7" s="29" customFormat="1" ht="15" customHeight="1">
      <c r="A96" s="28"/>
      <c r="B96" s="68">
        <v>2</v>
      </c>
      <c r="C96" s="42">
        <v>40</v>
      </c>
      <c r="D96" s="62">
        <v>0</v>
      </c>
      <c r="E96" s="249">
        <f>IF(D96="",0,ROUND((($C96-5)-(IF(D96&lt;=5,5,IF(D96&gt;$C96,$C96,D96))-5))/($C96-5)*$B96,Round))</f>
        <v>2</v>
      </c>
      <c r="F96" s="361"/>
      <c r="G96" s="76">
        <f>IF(F96="",0,ROUND((($C96-5)-(IF(F96&lt;=5,5,IF(F96&gt;$C96,$C96,F96))-5))/($C96-5)*$B96,Round))</f>
        <v>0</v>
      </c>
    </row>
    <row r="97" spans="1:7" s="29" customFormat="1" ht="15" customHeight="1">
      <c r="A97" s="28"/>
      <c r="B97" s="88">
        <v>3</v>
      </c>
      <c r="C97" s="42">
        <v>45</v>
      </c>
      <c r="D97" s="62">
        <v>9999</v>
      </c>
      <c r="E97" s="249">
        <f>IF(D97="",0,IF(D97&lt;=(C97-20),$B97,0))</f>
        <v>0</v>
      </c>
      <c r="F97" s="361"/>
      <c r="G97" s="76">
        <f>IF(F97="",0,IF(F97&lt;=($C97-20),$B97,0))</f>
        <v>0</v>
      </c>
    </row>
    <row r="98" spans="1:7" s="29" customFormat="1" ht="15" customHeight="1">
      <c r="A98" s="28"/>
      <c r="B98" s="88">
        <v>3</v>
      </c>
      <c r="C98" s="42">
        <v>50</v>
      </c>
      <c r="D98" s="62">
        <v>7.6</v>
      </c>
      <c r="E98" s="249">
        <f>IF(D98="",0,IF(D98&lt;=(C98-20),$B98,0))</f>
        <v>3</v>
      </c>
      <c r="F98" s="361"/>
      <c r="G98" s="76">
        <f>IF(F98="",0,IF(F98&lt;=($C98-20),$B98,0))</f>
        <v>0</v>
      </c>
    </row>
    <row r="99" spans="1:7" s="29" customFormat="1" ht="15" customHeight="1">
      <c r="A99" s="28"/>
      <c r="B99" s="88">
        <v>3</v>
      </c>
      <c r="C99" s="42">
        <v>55</v>
      </c>
      <c r="D99" s="62">
        <v>0</v>
      </c>
      <c r="E99" s="249">
        <f>IF(D99="",0,IF(D99&lt;=(C99-20),$B99,0))</f>
        <v>3</v>
      </c>
      <c r="F99" s="361"/>
      <c r="G99" s="76">
        <f>IF(F99="",0,IF(F99&lt;=($C99-20),$B99,0))</f>
        <v>0</v>
      </c>
    </row>
    <row r="100" spans="1:7" s="29" customFormat="1" ht="15" customHeight="1" thickBot="1">
      <c r="A100" s="28"/>
      <c r="B100" s="88">
        <v>2</v>
      </c>
      <c r="C100" s="42">
        <v>60</v>
      </c>
      <c r="D100" s="62">
        <v>34.799999999999997</v>
      </c>
      <c r="E100" s="249">
        <f>IF(D100="",0,IF(D100&lt;=(C100-20),$B100,0))</f>
        <v>2</v>
      </c>
      <c r="F100" s="361"/>
      <c r="G100" s="76">
        <f>IF(F100="",0,IF(F100&lt;=($C100-20),$B100,0))</f>
        <v>0</v>
      </c>
    </row>
    <row r="101" spans="1:7" s="29" customFormat="1" ht="15" customHeight="1" thickBot="1">
      <c r="A101" s="28"/>
      <c r="B101" s="510" t="s">
        <v>116</v>
      </c>
      <c r="C101" s="511"/>
      <c r="D101" s="512">
        <f>IF((COUNTBLANK(D92:D96)+COUNTBLANK(D97:D100))&gt;0,0,SUM(E92:E96,E97:E100))</f>
        <v>12</v>
      </c>
      <c r="E101" s="513"/>
      <c r="F101" s="514">
        <f>IF((COUNTBLANK(F92:F96)+COUNTBLANK(F97:F100))&gt;0,0,SUM(G92:G96,G97:G100))</f>
        <v>0</v>
      </c>
      <c r="G101" s="515"/>
    </row>
    <row r="102" spans="1:7" s="29" customFormat="1" ht="15" customHeight="1" thickBot="1">
      <c r="A102" s="28"/>
      <c r="B102" s="28"/>
      <c r="C102" s="30"/>
      <c r="D102" s="28"/>
      <c r="E102" s="28"/>
      <c r="F102" s="28"/>
      <c r="G102" s="28"/>
    </row>
    <row r="103" spans="1:7" s="29" customFormat="1" ht="15" customHeight="1">
      <c r="A103" s="28"/>
      <c r="B103" s="33" t="s">
        <v>117</v>
      </c>
      <c r="C103" s="34"/>
      <c r="D103" s="80" t="s">
        <v>118</v>
      </c>
      <c r="E103" s="235" t="s">
        <v>10</v>
      </c>
      <c r="F103" s="233" t="s">
        <v>118</v>
      </c>
      <c r="G103" s="81" t="s">
        <v>10</v>
      </c>
    </row>
    <row r="104" spans="1:7" s="29" customFormat="1" ht="15" customHeight="1">
      <c r="A104" s="28"/>
      <c r="B104" s="88">
        <v>3</v>
      </c>
      <c r="C104" s="42">
        <v>50</v>
      </c>
      <c r="D104" s="62" t="s">
        <v>814</v>
      </c>
      <c r="E104" s="249">
        <f t="shared" ref="E104:E110" si="0">IF(D104="",0,IF(D104&gt;=1.7,$B104,0))</f>
        <v>0</v>
      </c>
      <c r="F104" s="361"/>
      <c r="G104" s="76">
        <f t="shared" ref="G104:G110" si="1">IF(F104="",0,IF(F104&gt;=1.7,$B104,0))</f>
        <v>0</v>
      </c>
    </row>
    <row r="105" spans="1:7" s="29" customFormat="1" ht="15" customHeight="1">
      <c r="A105" s="28"/>
      <c r="B105" s="88">
        <v>3</v>
      </c>
      <c r="C105" s="42">
        <v>55</v>
      </c>
      <c r="D105" s="62" t="s">
        <v>814</v>
      </c>
      <c r="E105" s="249">
        <f t="shared" si="0"/>
        <v>0</v>
      </c>
      <c r="F105" s="361"/>
      <c r="G105" s="76">
        <f t="shared" si="1"/>
        <v>0</v>
      </c>
    </row>
    <row r="106" spans="1:7" s="29" customFormat="1" ht="15" customHeight="1">
      <c r="A106" s="28"/>
      <c r="B106" s="88">
        <v>2</v>
      </c>
      <c r="C106" s="42">
        <v>60</v>
      </c>
      <c r="D106" s="62" t="s">
        <v>814</v>
      </c>
      <c r="E106" s="249">
        <f t="shared" si="0"/>
        <v>0</v>
      </c>
      <c r="F106" s="361"/>
      <c r="G106" s="76">
        <f t="shared" si="1"/>
        <v>0</v>
      </c>
    </row>
    <row r="107" spans="1:7" s="29" customFormat="1" ht="15" customHeight="1">
      <c r="A107" s="28"/>
      <c r="B107" s="88">
        <v>1</v>
      </c>
      <c r="C107" s="42">
        <v>65</v>
      </c>
      <c r="D107" s="62" t="s">
        <v>814</v>
      </c>
      <c r="E107" s="249">
        <f t="shared" si="0"/>
        <v>0</v>
      </c>
      <c r="F107" s="361"/>
      <c r="G107" s="76">
        <f t="shared" si="1"/>
        <v>0</v>
      </c>
    </row>
    <row r="108" spans="1:7" s="29" customFormat="1" ht="15" customHeight="1">
      <c r="A108" s="28"/>
      <c r="B108" s="88">
        <v>1</v>
      </c>
      <c r="C108" s="42">
        <v>70</v>
      </c>
      <c r="D108" s="62" t="s">
        <v>814</v>
      </c>
      <c r="E108" s="249">
        <f t="shared" si="0"/>
        <v>0</v>
      </c>
      <c r="F108" s="361"/>
      <c r="G108" s="76">
        <f t="shared" si="1"/>
        <v>0</v>
      </c>
    </row>
    <row r="109" spans="1:7" s="29" customFormat="1" ht="15" customHeight="1">
      <c r="A109" s="28"/>
      <c r="B109" s="88">
        <v>1</v>
      </c>
      <c r="C109" s="42">
        <v>75</v>
      </c>
      <c r="D109" s="62" t="s">
        <v>814</v>
      </c>
      <c r="E109" s="249">
        <f t="shared" si="0"/>
        <v>0</v>
      </c>
      <c r="F109" s="361"/>
      <c r="G109" s="76">
        <f t="shared" si="1"/>
        <v>0</v>
      </c>
    </row>
    <row r="110" spans="1:7" s="29" customFormat="1" ht="15" customHeight="1" thickBot="1">
      <c r="A110" s="28"/>
      <c r="B110" s="88">
        <v>1</v>
      </c>
      <c r="C110" s="42">
        <v>80</v>
      </c>
      <c r="D110" s="62" t="s">
        <v>814</v>
      </c>
      <c r="E110" s="249">
        <f t="shared" si="0"/>
        <v>0</v>
      </c>
      <c r="F110" s="361"/>
      <c r="G110" s="76">
        <f t="shared" si="1"/>
        <v>0</v>
      </c>
    </row>
    <row r="111" spans="1:7" s="29" customFormat="1" ht="15" customHeight="1" thickBot="1">
      <c r="A111" s="28"/>
      <c r="B111" s="510" t="s">
        <v>119</v>
      </c>
      <c r="C111" s="511"/>
      <c r="D111" s="512">
        <f>IF((COUNTBLANK(D104:D108)+COUNTBLANK(D109:D110))&gt;0,0,SUM(E104:E108,E109:E110))</f>
        <v>0</v>
      </c>
      <c r="E111" s="513"/>
      <c r="F111" s="514">
        <f>IF((COUNTBLANK(F104:F108)+COUNTBLANK(F109:F110))&gt;0,0,SUM(G104:G108,G109:G110))</f>
        <v>0</v>
      </c>
      <c r="G111" s="515"/>
    </row>
    <row r="112" spans="1:7" s="29" customFormat="1" ht="15" customHeight="1" thickBot="1">
      <c r="A112" s="28"/>
      <c r="B112" s="28"/>
      <c r="C112" s="30"/>
      <c r="D112" s="28"/>
      <c r="E112" s="28"/>
      <c r="F112" s="28"/>
      <c r="G112" s="28"/>
    </row>
    <row r="113" spans="1:10" s="29" customFormat="1" ht="15" customHeight="1" thickBot="1">
      <c r="A113" s="28"/>
      <c r="B113" s="480" t="s">
        <v>9</v>
      </c>
      <c r="C113" s="522"/>
      <c r="D113" s="523" t="s">
        <v>120</v>
      </c>
      <c r="E113" s="524"/>
      <c r="F113" s="525" t="s">
        <v>732</v>
      </c>
      <c r="G113" s="526"/>
    </row>
    <row r="114" spans="1:10" s="29" customFormat="1" ht="15" customHeight="1">
      <c r="A114" s="28"/>
      <c r="B114" s="36"/>
      <c r="C114" s="82" t="s">
        <v>107</v>
      </c>
      <c r="D114" s="517">
        <f>ROUND(D30/20,Round)</f>
        <v>0</v>
      </c>
      <c r="E114" s="518"/>
      <c r="F114" s="519"/>
      <c r="G114" s="520"/>
      <c r="H114" s="28"/>
    </row>
    <row r="115" spans="1:10" ht="15" customHeight="1">
      <c r="B115" s="36"/>
      <c r="C115" s="83" t="s">
        <v>109</v>
      </c>
      <c r="D115" s="517">
        <f>ROUND(D44/20,Round)</f>
        <v>0</v>
      </c>
      <c r="E115" s="518"/>
      <c r="F115" s="519">
        <f>ROUND(F44/20,Round)</f>
        <v>0</v>
      </c>
      <c r="G115" s="520"/>
    </row>
    <row r="116" spans="1:10" ht="15" customHeight="1">
      <c r="B116" s="36"/>
      <c r="C116" s="83" t="s">
        <v>111</v>
      </c>
      <c r="D116" s="517">
        <f>ROUND(D58/20,Round)</f>
        <v>0</v>
      </c>
      <c r="E116" s="518"/>
      <c r="F116" s="519">
        <f>ROUND(F58/20,Round)</f>
        <v>0</v>
      </c>
      <c r="G116" s="520"/>
    </row>
    <row r="117" spans="1:10" ht="15" customHeight="1">
      <c r="B117" s="36"/>
      <c r="C117" s="83" t="s">
        <v>113</v>
      </c>
      <c r="D117" s="517">
        <f>ROUND(D72/20,Round)</f>
        <v>0</v>
      </c>
      <c r="E117" s="518"/>
      <c r="F117" s="519"/>
      <c r="G117" s="520"/>
    </row>
    <row r="118" spans="1:10" ht="15" customHeight="1">
      <c r="B118" s="36"/>
      <c r="C118" s="83" t="s">
        <v>158</v>
      </c>
      <c r="D118" s="517">
        <f>ROUND((D101+D111)/30,Round)</f>
        <v>0.4</v>
      </c>
      <c r="E118" s="518"/>
      <c r="F118" s="521">
        <f>ROUND((F101+F111)/30,Round)</f>
        <v>0</v>
      </c>
      <c r="G118" s="520"/>
    </row>
    <row r="119" spans="1:10" ht="15" customHeight="1">
      <c r="B119" s="36"/>
      <c r="C119" s="83" t="s">
        <v>733</v>
      </c>
      <c r="D119" s="517">
        <f>ROUND(D78/4,Round)</f>
        <v>0</v>
      </c>
      <c r="E119" s="518"/>
      <c r="F119" s="519"/>
      <c r="G119" s="520"/>
    </row>
    <row r="120" spans="1:10" ht="15" customHeight="1" thickBot="1">
      <c r="B120" s="38"/>
      <c r="C120" s="84" t="s">
        <v>723</v>
      </c>
      <c r="D120" s="538">
        <f>ROUND(D89/4,Round)</f>
        <v>0</v>
      </c>
      <c r="E120" s="539"/>
      <c r="F120" s="540"/>
      <c r="G120" s="541"/>
      <c r="H120" s="60"/>
    </row>
    <row r="121" spans="1:10" ht="15" customHeight="1" thickBot="1"/>
    <row r="122" spans="1:10" ht="15" customHeight="1" thickBot="1">
      <c r="B122" s="480" t="s">
        <v>12</v>
      </c>
      <c r="C122" s="481"/>
      <c r="D122" s="512"/>
      <c r="E122" s="514"/>
      <c r="F122" s="514"/>
      <c r="G122" s="515"/>
      <c r="I122" s="29"/>
    </row>
    <row r="123" spans="1:10" s="29" customFormat="1" ht="15" customHeight="1">
      <c r="A123" s="28"/>
      <c r="B123" s="36"/>
      <c r="C123" s="37" t="s">
        <v>103</v>
      </c>
      <c r="D123" s="527">
        <f>IF(D16="FAIL",0,ROUND(D114*0.5+D115*0.25+D116*0.25+D117*1+D118*1+D119*1+D120*2,Round))</f>
        <v>0.4</v>
      </c>
      <c r="E123" s="528"/>
      <c r="F123" s="528"/>
      <c r="G123" s="529"/>
      <c r="H123" s="60"/>
    </row>
    <row r="124" spans="1:10" ht="15" customHeight="1" thickBot="1">
      <c r="B124" s="38"/>
      <c r="C124" s="343" t="s">
        <v>718</v>
      </c>
      <c r="D124" s="530">
        <f>IF(F16="FAIL",0,ROUND(F115*1+F116*1+F118*1,Round))</f>
        <v>0</v>
      </c>
      <c r="E124" s="531"/>
      <c r="F124" s="531"/>
      <c r="G124" s="532"/>
    </row>
    <row r="125" spans="1:10" ht="15" customHeight="1" thickBot="1">
      <c r="E125" s="39"/>
      <c r="G125" s="39"/>
      <c r="I125" s="29"/>
    </row>
    <row r="126" spans="1:10" ht="21.75" thickBot="1">
      <c r="B126" s="533" t="s">
        <v>71</v>
      </c>
      <c r="C126" s="534"/>
      <c r="D126" s="535">
        <f>ROUND(SUM(D123:G124),Round)</f>
        <v>0.4</v>
      </c>
      <c r="E126" s="536"/>
      <c r="F126" s="536"/>
      <c r="G126" s="537"/>
      <c r="H126" s="48"/>
      <c r="J126" s="69"/>
    </row>
    <row r="127" spans="1:10">
      <c r="J127" s="69"/>
    </row>
  </sheetData>
  <dataConsolidate/>
  <mergeCells count="115">
    <mergeCell ref="D123:G123"/>
    <mergeCell ref="D124:G124"/>
    <mergeCell ref="B126:C126"/>
    <mergeCell ref="D126:G126"/>
    <mergeCell ref="D119:E119"/>
    <mergeCell ref="F119:G119"/>
    <mergeCell ref="D120:E120"/>
    <mergeCell ref="F120:G120"/>
    <mergeCell ref="B122:C122"/>
    <mergeCell ref="D122:G122"/>
    <mergeCell ref="D116:E116"/>
    <mergeCell ref="F116:G116"/>
    <mergeCell ref="D117:E117"/>
    <mergeCell ref="F117:G117"/>
    <mergeCell ref="D118:E118"/>
    <mergeCell ref="F118:G118"/>
    <mergeCell ref="B113:C113"/>
    <mergeCell ref="D113:E113"/>
    <mergeCell ref="F113:G113"/>
    <mergeCell ref="D114:E114"/>
    <mergeCell ref="F114:G114"/>
    <mergeCell ref="D115:E115"/>
    <mergeCell ref="F115:G115"/>
    <mergeCell ref="B101:C101"/>
    <mergeCell ref="D101:E101"/>
    <mergeCell ref="F101:G101"/>
    <mergeCell ref="B111:C111"/>
    <mergeCell ref="D111:E111"/>
    <mergeCell ref="F111:G111"/>
    <mergeCell ref="F87:G87"/>
    <mergeCell ref="F88:G88"/>
    <mergeCell ref="B89:C89"/>
    <mergeCell ref="D89:E89"/>
    <mergeCell ref="F89:G89"/>
    <mergeCell ref="D91:E91"/>
    <mergeCell ref="F91:G91"/>
    <mergeCell ref="F81:G81"/>
    <mergeCell ref="F82:G82"/>
    <mergeCell ref="F83:G83"/>
    <mergeCell ref="F84:G84"/>
    <mergeCell ref="F85:G85"/>
    <mergeCell ref="F86:G86"/>
    <mergeCell ref="F76:G76"/>
    <mergeCell ref="F77:G77"/>
    <mergeCell ref="B78:C78"/>
    <mergeCell ref="D78:E78"/>
    <mergeCell ref="F78:G78"/>
    <mergeCell ref="F80:G80"/>
    <mergeCell ref="F71:G71"/>
    <mergeCell ref="B72:C72"/>
    <mergeCell ref="D72:E72"/>
    <mergeCell ref="F72:G72"/>
    <mergeCell ref="F74:G74"/>
    <mergeCell ref="F75:G75"/>
    <mergeCell ref="F65:G65"/>
    <mergeCell ref="F66:G66"/>
    <mergeCell ref="F67:G67"/>
    <mergeCell ref="F68:G68"/>
    <mergeCell ref="F69:G69"/>
    <mergeCell ref="F70:G70"/>
    <mergeCell ref="D60:E60"/>
    <mergeCell ref="F60:G60"/>
    <mergeCell ref="F61:G61"/>
    <mergeCell ref="F62:G62"/>
    <mergeCell ref="F63:G63"/>
    <mergeCell ref="F64:G64"/>
    <mergeCell ref="B44:C44"/>
    <mergeCell ref="D44:E44"/>
    <mergeCell ref="F44:G44"/>
    <mergeCell ref="D46:E46"/>
    <mergeCell ref="F46:G46"/>
    <mergeCell ref="B58:C58"/>
    <mergeCell ref="D58:E58"/>
    <mergeCell ref="F58:G58"/>
    <mergeCell ref="F29:G29"/>
    <mergeCell ref="B30:C30"/>
    <mergeCell ref="D30:E30"/>
    <mergeCell ref="F30:G30"/>
    <mergeCell ref="D32:E32"/>
    <mergeCell ref="F32:G32"/>
    <mergeCell ref="F23:G23"/>
    <mergeCell ref="F24:G24"/>
    <mergeCell ref="F25:G25"/>
    <mergeCell ref="F26:G26"/>
    <mergeCell ref="F27:G27"/>
    <mergeCell ref="F28:G28"/>
    <mergeCell ref="D18:E18"/>
    <mergeCell ref="F18:G18"/>
    <mergeCell ref="F19:G19"/>
    <mergeCell ref="F20:G20"/>
    <mergeCell ref="F21:G21"/>
    <mergeCell ref="F22:G22"/>
    <mergeCell ref="D14:E14"/>
    <mergeCell ref="F14:G14"/>
    <mergeCell ref="D15:E15"/>
    <mergeCell ref="F15:G15"/>
    <mergeCell ref="B2:C3"/>
    <mergeCell ref="D2:E3"/>
    <mergeCell ref="F2:G3"/>
    <mergeCell ref="B4:C4"/>
    <mergeCell ref="D5:G5"/>
    <mergeCell ref="B16:C16"/>
    <mergeCell ref="D16:E16"/>
    <mergeCell ref="F16:G16"/>
    <mergeCell ref="D11:G11"/>
    <mergeCell ref="D12:G12"/>
    <mergeCell ref="D13:G13"/>
    <mergeCell ref="D6:E6"/>
    <mergeCell ref="F6:G6"/>
    <mergeCell ref="D7:E7"/>
    <mergeCell ref="F7:G7"/>
    <mergeCell ref="D8:E8"/>
    <mergeCell ref="F8:G8"/>
    <mergeCell ref="D9:E9"/>
    <mergeCell ref="F9:G9"/>
  </mergeCells>
  <dataValidations count="3">
    <dataValidation type="list" allowBlank="1" showInputMessage="1" showErrorMessage="1" sqref="D7:G7" xr:uid="{C642560C-196F-4414-BF75-1B109812CD7A}">
      <formula1>"Auto-Brake,Auto-Brake with Forward Collision Warning"</formula1>
    </dataValidation>
    <dataValidation type="list" allowBlank="1" showInputMessage="1" showErrorMessage="1" sqref="F14 D14" xr:uid="{DAAEE36A-90CF-443C-A6AF-7BCF742CAF4E}">
      <formula1>"PASS,FAIL"</formula1>
    </dataValidation>
    <dataValidation type="list" allowBlank="1" showInputMessage="1" showErrorMessage="1" sqref="D13:G13 D15 F15" xr:uid="{9C2D60A6-B494-4ABF-9CFC-E4E29CCB1B9E}">
      <formula1>"YES,NO"</formula1>
    </dataValidation>
  </dataValidations>
  <pageMargins left="0.8" right="0.44" top="0.53" bottom="1" header="0.5" footer="0.5"/>
  <pageSetup paperSize="9" scale="51"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4">
    <tabColor rgb="FF00B050"/>
    <pageSetUpPr fitToPage="1"/>
  </sheetPr>
  <dimension ref="A1:G88"/>
  <sheetViews>
    <sheetView topLeftCell="B1" zoomScale="80" zoomScaleNormal="80" workbookViewId="0">
      <pane ySplit="4" topLeftCell="A70" activePane="bottomLeft" state="frozen"/>
      <selection activeCell="D30" sqref="D30"/>
      <selection pane="bottomLeft" activeCell="F70" sqref="F70"/>
    </sheetView>
  </sheetViews>
  <sheetFormatPr defaultColWidth="8.85546875" defaultRowHeight="12.75"/>
  <cols>
    <col min="1" max="2" width="8.85546875" style="28"/>
    <col min="3" max="3" width="40.42578125" style="28" customWidth="1"/>
    <col min="4" max="5" width="20.7109375" style="28" customWidth="1"/>
    <col min="6" max="6" width="13.42578125" style="28" customWidth="1"/>
    <col min="7" max="9" width="8.85546875" style="28" customWidth="1"/>
    <col min="10" max="16384" width="8.85546875" style="28"/>
  </cols>
  <sheetData>
    <row r="1" spans="1:5" ht="13.5" thickBot="1">
      <c r="A1" s="27">
        <v>3</v>
      </c>
    </row>
    <row r="2" spans="1:5" s="30" customFormat="1" ht="12.95" customHeight="1">
      <c r="B2" s="463" t="s">
        <v>128</v>
      </c>
      <c r="C2" s="464"/>
      <c r="D2" s="467"/>
      <c r="E2" s="468"/>
    </row>
    <row r="3" spans="1:5" s="30" customFormat="1" ht="15" customHeight="1">
      <c r="B3" s="465"/>
      <c r="C3" s="466"/>
      <c r="D3" s="469"/>
      <c r="E3" s="470"/>
    </row>
    <row r="4" spans="1:5" ht="15" customHeight="1" thickBot="1">
      <c r="B4" s="542"/>
      <c r="C4" s="543"/>
      <c r="D4" s="77" t="s">
        <v>104</v>
      </c>
      <c r="E4" s="78" t="s">
        <v>10</v>
      </c>
    </row>
    <row r="5" spans="1:5" s="29" customFormat="1" ht="15" customHeight="1">
      <c r="A5" s="28"/>
      <c r="B5" s="33" t="s">
        <v>29</v>
      </c>
      <c r="C5" s="63"/>
      <c r="D5" s="477"/>
      <c r="E5" s="479"/>
    </row>
    <row r="6" spans="1:5" s="29" customFormat="1" ht="15" customHeight="1">
      <c r="A6" s="28"/>
      <c r="B6" s="31"/>
      <c r="C6" s="64" t="s">
        <v>105</v>
      </c>
      <c r="D6" s="492"/>
      <c r="E6" s="493"/>
    </row>
    <row r="7" spans="1:5" s="29" customFormat="1" ht="15" customHeight="1">
      <c r="A7" s="28"/>
      <c r="B7" s="31"/>
      <c r="C7" s="64" t="s">
        <v>30</v>
      </c>
      <c r="D7" s="492"/>
      <c r="E7" s="493"/>
    </row>
    <row r="8" spans="1:5" s="29" customFormat="1" ht="15" customHeight="1">
      <c r="A8" s="28"/>
      <c r="B8" s="31"/>
      <c r="C8" s="64" t="s">
        <v>47</v>
      </c>
      <c r="D8" s="494"/>
      <c r="E8" s="495"/>
    </row>
    <row r="9" spans="1:5" s="29" customFormat="1" ht="15" customHeight="1" thickBot="1">
      <c r="A9" s="28"/>
      <c r="B9" s="38"/>
      <c r="C9" s="65" t="s">
        <v>31</v>
      </c>
      <c r="D9" s="496"/>
      <c r="E9" s="497"/>
    </row>
    <row r="10" spans="1:5" s="29" customFormat="1" ht="15" customHeight="1" thickBot="1">
      <c r="A10" s="28"/>
      <c r="B10" s="28"/>
      <c r="C10" s="30"/>
      <c r="D10" s="28"/>
      <c r="E10" s="28"/>
    </row>
    <row r="11" spans="1:5" s="29" customFormat="1" ht="15" customHeight="1">
      <c r="A11" s="28"/>
      <c r="B11" s="33" t="s">
        <v>70</v>
      </c>
      <c r="C11" s="34"/>
      <c r="D11" s="477"/>
      <c r="E11" s="479"/>
    </row>
    <row r="12" spans="1:5" s="29" customFormat="1" ht="15" customHeight="1">
      <c r="A12" s="28"/>
      <c r="B12" s="31"/>
      <c r="C12" s="35"/>
      <c r="D12" s="486"/>
      <c r="E12" s="488"/>
    </row>
    <row r="13" spans="1:5" s="29" customFormat="1" ht="15" customHeight="1">
      <c r="A13" s="28"/>
      <c r="B13" s="31"/>
      <c r="C13" s="32" t="s">
        <v>73</v>
      </c>
      <c r="D13" s="489" t="s">
        <v>770</v>
      </c>
      <c r="E13" s="491"/>
    </row>
    <row r="14" spans="1:5" s="29" customFormat="1" ht="15" customHeight="1" thickBot="1">
      <c r="A14" s="28"/>
      <c r="B14" s="31"/>
      <c r="C14" s="32" t="s">
        <v>106</v>
      </c>
      <c r="D14" s="504" t="s">
        <v>205</v>
      </c>
      <c r="E14" s="507"/>
    </row>
    <row r="15" spans="1:5" s="29" customFormat="1" ht="15" customHeight="1" thickBot="1">
      <c r="A15" s="28"/>
      <c r="B15" s="480" t="s">
        <v>70</v>
      </c>
      <c r="C15" s="481"/>
      <c r="D15" s="544" t="str">
        <f>IF(AND(D13="YES",D14="NO"),"PASS","FAIL")</f>
        <v>PASS</v>
      </c>
      <c r="E15" s="545"/>
    </row>
    <row r="16" spans="1:5" s="29" customFormat="1" ht="15" customHeight="1" thickBot="1">
      <c r="A16" s="28"/>
      <c r="B16" s="28"/>
      <c r="C16" s="30"/>
      <c r="D16" s="28"/>
      <c r="E16" s="28"/>
    </row>
    <row r="17" spans="1:6" s="29" customFormat="1" ht="15" customHeight="1">
      <c r="A17" s="28"/>
      <c r="B17" s="33" t="s">
        <v>714</v>
      </c>
      <c r="C17" s="34"/>
      <c r="D17" s="498"/>
      <c r="E17" s="501"/>
    </row>
    <row r="18" spans="1:6" s="29" customFormat="1" ht="15" customHeight="1">
      <c r="A18" s="28"/>
      <c r="B18" s="68"/>
      <c r="C18" s="42">
        <v>10</v>
      </c>
      <c r="D18" s="62"/>
      <c r="E18" s="76">
        <f t="shared" ref="E18:E24" si="0">IF(D18="",0,ROUND(($C18-IF(D18&gt;$C18,$C18,D18))/$C18*1,Round))</f>
        <v>0</v>
      </c>
    </row>
    <row r="19" spans="1:6" s="29" customFormat="1" ht="15" customHeight="1">
      <c r="A19" s="28"/>
      <c r="B19" s="68"/>
      <c r="C19" s="42">
        <v>15</v>
      </c>
      <c r="D19" s="62"/>
      <c r="E19" s="76">
        <f t="shared" si="0"/>
        <v>0</v>
      </c>
    </row>
    <row r="20" spans="1:6" s="29" customFormat="1" ht="15" customHeight="1">
      <c r="A20" s="28"/>
      <c r="B20" s="68"/>
      <c r="C20" s="42">
        <v>20</v>
      </c>
      <c r="D20" s="62"/>
      <c r="E20" s="76">
        <f t="shared" si="0"/>
        <v>0</v>
      </c>
    </row>
    <row r="21" spans="1:6" s="29" customFormat="1" ht="15" customHeight="1">
      <c r="A21" s="28"/>
      <c r="B21" s="68"/>
      <c r="C21" s="42">
        <v>25</v>
      </c>
      <c r="D21" s="62"/>
      <c r="E21" s="76">
        <f t="shared" si="0"/>
        <v>0</v>
      </c>
    </row>
    <row r="22" spans="1:6" s="29" customFormat="1" ht="15" customHeight="1">
      <c r="A22" s="28"/>
      <c r="B22" s="68"/>
      <c r="C22" s="42">
        <v>30</v>
      </c>
      <c r="D22" s="62"/>
      <c r="E22" s="76">
        <f t="shared" si="0"/>
        <v>0</v>
      </c>
      <c r="F22" s="363" t="s">
        <v>776</v>
      </c>
    </row>
    <row r="23" spans="1:6" s="29" customFormat="1" ht="15" customHeight="1">
      <c r="A23" s="28"/>
      <c r="B23" s="68"/>
      <c r="C23" s="42">
        <v>35</v>
      </c>
      <c r="D23" s="62"/>
      <c r="E23" s="76">
        <f t="shared" si="0"/>
        <v>0</v>
      </c>
    </row>
    <row r="24" spans="1:6" s="29" customFormat="1" ht="15" customHeight="1">
      <c r="A24" s="28"/>
      <c r="B24" s="68"/>
      <c r="C24" s="42">
        <v>40</v>
      </c>
      <c r="D24" s="62"/>
      <c r="E24" s="76">
        <f t="shared" si="0"/>
        <v>0</v>
      </c>
    </row>
    <row r="25" spans="1:6" s="29" customFormat="1" ht="15" customHeight="1">
      <c r="A25" s="28"/>
      <c r="B25" s="31"/>
      <c r="C25" s="42">
        <v>45</v>
      </c>
      <c r="D25" s="62"/>
      <c r="E25" s="76">
        <f>IF(D25="",0,IF(D25&lt;=(C25-20),1,0))</f>
        <v>0</v>
      </c>
    </row>
    <row r="26" spans="1:6" s="29" customFormat="1" ht="15" customHeight="1">
      <c r="A26" s="28"/>
      <c r="B26" s="31"/>
      <c r="C26" s="42">
        <v>50</v>
      </c>
      <c r="D26" s="62"/>
      <c r="E26" s="76">
        <f>IF(D26="",0,IF(D26&lt;=(C26-20),1,0))</f>
        <v>0</v>
      </c>
    </row>
    <row r="27" spans="1:6" s="29" customFormat="1" ht="15" customHeight="1">
      <c r="A27" s="28"/>
      <c r="B27" s="31"/>
      <c r="C27" s="42">
        <v>55</v>
      </c>
      <c r="D27" s="62"/>
      <c r="E27" s="76">
        <f>IF(D27="",0,IF(D27&lt;=(C27-20),1,0))</f>
        <v>0</v>
      </c>
    </row>
    <row r="28" spans="1:6" s="29" customFormat="1" ht="15" customHeight="1" thickBot="1">
      <c r="A28" s="28"/>
      <c r="B28" s="31"/>
      <c r="C28" s="42">
        <v>60</v>
      </c>
      <c r="D28" s="87"/>
      <c r="E28" s="40">
        <f>IF(D28="",0,IF(D28&lt;=(C28-20),1,0))</f>
        <v>0</v>
      </c>
    </row>
    <row r="29" spans="1:6" s="29" customFormat="1" ht="15" customHeight="1" thickBot="1">
      <c r="A29" s="28"/>
      <c r="B29" s="510" t="s">
        <v>715</v>
      </c>
      <c r="C29" s="511"/>
      <c r="D29" s="512">
        <f>IF((COUNTBLANK(D18:D24)+COUNTBLANK(D25:D28))&gt;0,0,SUM(E18:E24,E25:E28))</f>
        <v>0</v>
      </c>
      <c r="E29" s="515"/>
    </row>
    <row r="30" spans="1:6" s="29" customFormat="1" ht="15" customHeight="1" thickBot="1">
      <c r="A30" s="28"/>
      <c r="B30" s="28"/>
      <c r="C30" s="30"/>
      <c r="D30" s="28"/>
      <c r="E30" s="28"/>
    </row>
    <row r="31" spans="1:6" s="29" customFormat="1" ht="15" customHeight="1">
      <c r="A31" s="28"/>
      <c r="B31" s="33" t="s">
        <v>127</v>
      </c>
      <c r="C31" s="34"/>
      <c r="D31" s="498"/>
      <c r="E31" s="501"/>
    </row>
    <row r="32" spans="1:6" s="29" customFormat="1" ht="15" customHeight="1">
      <c r="A32" s="28"/>
      <c r="B32" s="68"/>
      <c r="C32" s="42">
        <v>10</v>
      </c>
      <c r="D32" s="62"/>
      <c r="E32" s="76">
        <f t="shared" ref="E32:E33" si="1">IF(D32="",0,ROUND(($C32-IF(D32&gt;$C32,$C32,D32))/$C32*1,Round))</f>
        <v>0</v>
      </c>
    </row>
    <row r="33" spans="1:5" s="29" customFormat="1" ht="15" customHeight="1">
      <c r="A33" s="28"/>
      <c r="B33" s="68"/>
      <c r="C33" s="42">
        <v>15</v>
      </c>
      <c r="D33" s="62"/>
      <c r="E33" s="76">
        <f t="shared" si="1"/>
        <v>0</v>
      </c>
    </row>
    <row r="34" spans="1:5" s="29" customFormat="1" ht="15" customHeight="1">
      <c r="A34" s="28"/>
      <c r="B34" s="68"/>
      <c r="C34" s="42">
        <v>20</v>
      </c>
      <c r="D34" s="62" t="s">
        <v>814</v>
      </c>
      <c r="E34" s="76">
        <f>IF(D34="",0,ROUND(($C34-IF(D34&gt;$C34,$C34,D34))/$C34*1,Round))</f>
        <v>0</v>
      </c>
    </row>
    <row r="35" spans="1:5" s="29" customFormat="1" ht="15" customHeight="1">
      <c r="A35" s="28"/>
      <c r="B35" s="68"/>
      <c r="C35" s="42">
        <v>25</v>
      </c>
      <c r="D35" s="62" t="s">
        <v>814</v>
      </c>
      <c r="E35" s="76">
        <f>IF(D35="",0,ROUND(($C35-IF(D35&gt;$C35,$C35,D35))/$C35*1,Round))</f>
        <v>0</v>
      </c>
    </row>
    <row r="36" spans="1:5" s="29" customFormat="1" ht="15" customHeight="1">
      <c r="A36" s="28"/>
      <c r="B36" s="68"/>
      <c r="C36" s="42">
        <v>30</v>
      </c>
      <c r="D36" s="62" t="s">
        <v>814</v>
      </c>
      <c r="E36" s="76">
        <f>IF(D36="",0,ROUND(($C36-IF(D36&gt;$C36,$C36,D36))/$C36*1,Round))</f>
        <v>0</v>
      </c>
    </row>
    <row r="37" spans="1:5" s="29" customFormat="1" ht="15" customHeight="1">
      <c r="A37" s="28"/>
      <c r="B37" s="68"/>
      <c r="C37" s="42">
        <v>35</v>
      </c>
      <c r="D37" s="62" t="s">
        <v>814</v>
      </c>
      <c r="E37" s="76">
        <f>IF(D37="",0,ROUND(($C37-IF(D37&gt;$C37,$C37,D37))/$C37*1,Round))</f>
        <v>0</v>
      </c>
    </row>
    <row r="38" spans="1:5" s="29" customFormat="1" ht="15" customHeight="1">
      <c r="A38" s="28"/>
      <c r="B38" s="68"/>
      <c r="C38" s="42">
        <v>40</v>
      </c>
      <c r="D38" s="62" t="s">
        <v>814</v>
      </c>
      <c r="E38" s="76">
        <f>IF(D38="",0,ROUND(($C38-IF(D38&gt;$C38,$C38,D38))/$C38*1,Round))</f>
        <v>0</v>
      </c>
    </row>
    <row r="39" spans="1:5" s="29" customFormat="1" ht="15" customHeight="1">
      <c r="A39" s="28"/>
      <c r="B39" s="31"/>
      <c r="C39" s="42">
        <v>45</v>
      </c>
      <c r="D39" s="62" t="s">
        <v>814</v>
      </c>
      <c r="E39" s="76">
        <f>IF(D39="",0,IF(D39&lt;=(C39-20),1,0))</f>
        <v>0</v>
      </c>
    </row>
    <row r="40" spans="1:5" s="29" customFormat="1" ht="15" customHeight="1">
      <c r="A40" s="28"/>
      <c r="B40" s="31"/>
      <c r="C40" s="42">
        <v>50</v>
      </c>
      <c r="D40" s="62" t="s">
        <v>814</v>
      </c>
      <c r="E40" s="76">
        <f>IF(D40="",0,IF(D40&lt;=(C40-20),1,0))</f>
        <v>0</v>
      </c>
    </row>
    <row r="41" spans="1:5" s="29" customFormat="1" ht="15" customHeight="1">
      <c r="A41" s="28"/>
      <c r="B41" s="31"/>
      <c r="C41" s="42">
        <v>55</v>
      </c>
      <c r="D41" s="62" t="s">
        <v>814</v>
      </c>
      <c r="E41" s="76">
        <f>IF(D41="",0,IF(D41&lt;=(C41-20),1,0))</f>
        <v>0</v>
      </c>
    </row>
    <row r="42" spans="1:5" s="29" customFormat="1" ht="15" customHeight="1" thickBot="1">
      <c r="A42" s="28"/>
      <c r="B42" s="31"/>
      <c r="C42" s="42">
        <v>60</v>
      </c>
      <c r="D42" s="62" t="s">
        <v>814</v>
      </c>
      <c r="E42" s="40">
        <f>IF(D42="",0,IF(D42&lt;=(C42-20),1,0))</f>
        <v>0</v>
      </c>
    </row>
    <row r="43" spans="1:5" s="29" customFormat="1" ht="15" customHeight="1" thickBot="1">
      <c r="A43" s="28"/>
      <c r="B43" s="510" t="s">
        <v>126</v>
      </c>
      <c r="C43" s="511"/>
      <c r="D43" s="512">
        <f>SUM(E34:E38,E39:E42)</f>
        <v>0</v>
      </c>
      <c r="E43" s="515"/>
    </row>
    <row r="44" spans="1:5" s="29" customFormat="1" ht="15" customHeight="1" thickBot="1">
      <c r="A44" s="28"/>
      <c r="B44" s="28"/>
      <c r="C44" s="30"/>
      <c r="D44" s="28"/>
      <c r="E44" s="28"/>
    </row>
    <row r="45" spans="1:5" s="29" customFormat="1" ht="15" customHeight="1">
      <c r="A45" s="28"/>
      <c r="B45" s="33" t="s">
        <v>716</v>
      </c>
      <c r="C45" s="34"/>
      <c r="D45" s="498"/>
      <c r="E45" s="501"/>
    </row>
    <row r="46" spans="1:5" s="29" customFormat="1" ht="15" customHeight="1">
      <c r="A46" s="28"/>
      <c r="B46" s="68"/>
      <c r="C46" s="42">
        <v>10</v>
      </c>
      <c r="D46" s="62"/>
      <c r="E46" s="76">
        <f t="shared" ref="E46:E52" si="2">IF(D46="",0,ROUND(($C46-IF(D46&gt;$C46,$C46,D46))/$C46*1,Round))</f>
        <v>0</v>
      </c>
    </row>
    <row r="47" spans="1:5" s="29" customFormat="1" ht="15" customHeight="1">
      <c r="A47" s="28"/>
      <c r="B47" s="68"/>
      <c r="C47" s="42">
        <v>15</v>
      </c>
      <c r="D47" s="62"/>
      <c r="E47" s="76">
        <f t="shared" si="2"/>
        <v>0</v>
      </c>
    </row>
    <row r="48" spans="1:5" s="29" customFormat="1" ht="15" customHeight="1">
      <c r="A48" s="28"/>
      <c r="B48" s="68"/>
      <c r="C48" s="42">
        <v>20</v>
      </c>
      <c r="D48" s="62"/>
      <c r="E48" s="76">
        <f t="shared" si="2"/>
        <v>0</v>
      </c>
    </row>
    <row r="49" spans="1:6" s="29" customFormat="1" ht="15" customHeight="1">
      <c r="A49" s="28"/>
      <c r="B49" s="68"/>
      <c r="C49" s="42">
        <v>25</v>
      </c>
      <c r="D49" s="62"/>
      <c r="E49" s="76">
        <f t="shared" si="2"/>
        <v>0</v>
      </c>
      <c r="F49" s="363" t="s">
        <v>776</v>
      </c>
    </row>
    <row r="50" spans="1:6" s="29" customFormat="1" ht="15" customHeight="1">
      <c r="A50" s="28"/>
      <c r="B50" s="68"/>
      <c r="C50" s="42">
        <v>30</v>
      </c>
      <c r="D50" s="62"/>
      <c r="E50" s="76">
        <f t="shared" si="2"/>
        <v>0</v>
      </c>
    </row>
    <row r="51" spans="1:6" s="29" customFormat="1" ht="15" customHeight="1">
      <c r="A51" s="28"/>
      <c r="B51" s="68"/>
      <c r="C51" s="42">
        <v>35</v>
      </c>
      <c r="D51" s="62"/>
      <c r="E51" s="76">
        <f t="shared" si="2"/>
        <v>0</v>
      </c>
    </row>
    <row r="52" spans="1:6" s="29" customFormat="1" ht="15" customHeight="1">
      <c r="A52" s="28"/>
      <c r="B52" s="68"/>
      <c r="C52" s="42">
        <v>40</v>
      </c>
      <c r="D52" s="62"/>
      <c r="E52" s="76">
        <f t="shared" si="2"/>
        <v>0</v>
      </c>
    </row>
    <row r="53" spans="1:6" s="29" customFormat="1" ht="15" customHeight="1">
      <c r="A53" s="28"/>
      <c r="B53" s="31"/>
      <c r="C53" s="42">
        <v>45</v>
      </c>
      <c r="D53" s="62"/>
      <c r="E53" s="76">
        <f>IF(D53="",0,IF(D53&lt;=(C53-20),1,0))</f>
        <v>0</v>
      </c>
    </row>
    <row r="54" spans="1:6" s="29" customFormat="1" ht="15" customHeight="1">
      <c r="A54" s="28"/>
      <c r="B54" s="31"/>
      <c r="C54" s="42">
        <v>50</v>
      </c>
      <c r="D54" s="62"/>
      <c r="E54" s="76">
        <f>IF(D54="",0,IF(D54&lt;=(C54-20),1,0))</f>
        <v>0</v>
      </c>
    </row>
    <row r="55" spans="1:6" s="29" customFormat="1" ht="15" customHeight="1">
      <c r="A55" s="28"/>
      <c r="B55" s="31"/>
      <c r="C55" s="42">
        <v>55</v>
      </c>
      <c r="D55" s="62"/>
      <c r="E55" s="76">
        <f>IF(D55="",0,IF(D55&lt;=(C55-20),1,0))</f>
        <v>0</v>
      </c>
    </row>
    <row r="56" spans="1:6" s="29" customFormat="1" ht="15" customHeight="1" thickBot="1">
      <c r="A56" s="28"/>
      <c r="B56" s="31"/>
      <c r="C56" s="42">
        <v>60</v>
      </c>
      <c r="D56" s="87"/>
      <c r="E56" s="40">
        <f>IF(D56="",0,IF(D56&lt;=(C56-20),1,0))</f>
        <v>0</v>
      </c>
    </row>
    <row r="57" spans="1:6" s="29" customFormat="1" ht="15" customHeight="1" thickBot="1">
      <c r="A57" s="28"/>
      <c r="B57" s="510" t="s">
        <v>717</v>
      </c>
      <c r="C57" s="511"/>
      <c r="D57" s="512">
        <f>IF((COUNTBLANK(D46:D52)+COUNTBLANK(D53:D56))&gt;0,0,SUM(E46:E52,E53:E56))</f>
        <v>0</v>
      </c>
      <c r="E57" s="515"/>
    </row>
    <row r="58" spans="1:6" s="29" customFormat="1" ht="15" customHeight="1" thickBot="1">
      <c r="A58" s="28"/>
      <c r="B58" s="28"/>
      <c r="C58" s="30"/>
      <c r="D58" s="28"/>
      <c r="E58" s="28"/>
    </row>
    <row r="59" spans="1:6" s="29" customFormat="1" ht="15" customHeight="1">
      <c r="A59" s="28"/>
      <c r="B59" s="33" t="s">
        <v>122</v>
      </c>
      <c r="C59" s="34"/>
      <c r="D59" s="498"/>
      <c r="E59" s="501"/>
    </row>
    <row r="60" spans="1:6" s="29" customFormat="1" ht="15" customHeight="1">
      <c r="A60" s="28"/>
      <c r="B60" s="88">
        <v>1</v>
      </c>
      <c r="C60" s="42">
        <v>25</v>
      </c>
      <c r="D60" s="62" t="s">
        <v>814</v>
      </c>
      <c r="E60" s="76">
        <f>IF(D60="",0,ROUND((($C60-15)-(IF(D60&lt;=15,15,IF(D60&gt;$C60,$C60,D60))-15))/($C60-15)*$B60,Round))</f>
        <v>0</v>
      </c>
    </row>
    <row r="61" spans="1:6" s="29" customFormat="1" ht="15" customHeight="1">
      <c r="A61" s="28"/>
      <c r="B61" s="88">
        <v>1</v>
      </c>
      <c r="C61" s="42">
        <v>30</v>
      </c>
      <c r="D61" s="62" t="s">
        <v>814</v>
      </c>
      <c r="E61" s="76">
        <f>IF(D61="",0,ROUND((($C61-15)-(IF(D61&lt;=15,15,IF(D61&gt;$C61,$C61,D61))-15))/($C61-15)*$B61,Round))</f>
        <v>0</v>
      </c>
    </row>
    <row r="62" spans="1:6" s="29" customFormat="1" ht="15" customHeight="1">
      <c r="A62" s="28"/>
      <c r="B62" s="88">
        <v>2</v>
      </c>
      <c r="C62" s="42">
        <v>35</v>
      </c>
      <c r="D62" s="62" t="s">
        <v>814</v>
      </c>
      <c r="E62" s="76">
        <f>IF(D62="",0,ROUND((($C62-15)-(IF(D62&lt;=15,15,IF(D62&gt;$C62,$C62,D62))-15))/($C62-15)*$B62,Round))</f>
        <v>0</v>
      </c>
    </row>
    <row r="63" spans="1:6" s="29" customFormat="1" ht="15" customHeight="1">
      <c r="A63" s="28"/>
      <c r="B63" s="88">
        <v>2</v>
      </c>
      <c r="C63" s="42">
        <v>40</v>
      </c>
      <c r="D63" s="62" t="s">
        <v>814</v>
      </c>
      <c r="E63" s="76">
        <f>IF(D63="",0,ROUND((($C63-15)-(IF(D63&lt;=15,15,IF(D63&gt;$C63,$C63,D63))-15))/($C63-15)*$B63,Round))</f>
        <v>0</v>
      </c>
    </row>
    <row r="64" spans="1:6" s="29" customFormat="1" ht="15" customHeight="1">
      <c r="A64" s="28"/>
      <c r="B64" s="88">
        <v>3</v>
      </c>
      <c r="C64" s="42">
        <v>45</v>
      </c>
      <c r="D64" s="62" t="s">
        <v>814</v>
      </c>
      <c r="E64" s="76">
        <f>IF(D64="",0,IF(D64&lt;=(C64-20),$B64,0))</f>
        <v>0</v>
      </c>
    </row>
    <row r="65" spans="1:5" s="29" customFormat="1" ht="15" customHeight="1">
      <c r="A65" s="28"/>
      <c r="B65" s="88">
        <v>3</v>
      </c>
      <c r="C65" s="42">
        <v>50</v>
      </c>
      <c r="D65" s="62" t="s">
        <v>814</v>
      </c>
      <c r="E65" s="76">
        <f t="shared" ref="E65:E67" si="3">IF(D65="",0,IF(D65&lt;=(C65-20),$B65,0))</f>
        <v>0</v>
      </c>
    </row>
    <row r="66" spans="1:5" s="29" customFormat="1" ht="15" customHeight="1">
      <c r="A66" s="28"/>
      <c r="B66" s="88">
        <v>3</v>
      </c>
      <c r="C66" s="42">
        <v>55</v>
      </c>
      <c r="D66" s="62" t="s">
        <v>814</v>
      </c>
      <c r="E66" s="76">
        <f t="shared" si="3"/>
        <v>0</v>
      </c>
    </row>
    <row r="67" spans="1:5" s="29" customFormat="1" ht="15" customHeight="1" thickBot="1">
      <c r="A67" s="28"/>
      <c r="B67" s="88">
        <v>1</v>
      </c>
      <c r="C67" s="42">
        <v>60</v>
      </c>
      <c r="D67" s="62" t="s">
        <v>814</v>
      </c>
      <c r="E67" s="40">
        <f t="shared" si="3"/>
        <v>0</v>
      </c>
    </row>
    <row r="68" spans="1:5" s="29" customFormat="1" ht="15" customHeight="1" thickBot="1">
      <c r="A68" s="28"/>
      <c r="B68" s="510" t="s">
        <v>125</v>
      </c>
      <c r="C68" s="511"/>
      <c r="D68" s="512">
        <f>SUM(E60:E63,E64:E67)</f>
        <v>0</v>
      </c>
      <c r="E68" s="515"/>
    </row>
    <row r="69" spans="1:5" s="29" customFormat="1" ht="15" customHeight="1" thickBot="1">
      <c r="A69" s="28"/>
      <c r="B69" s="28"/>
      <c r="C69" s="30"/>
      <c r="D69" s="28"/>
      <c r="E69" s="28"/>
    </row>
    <row r="70" spans="1:5" s="29" customFormat="1" ht="15" customHeight="1">
      <c r="A70" s="28"/>
      <c r="B70" s="33" t="s">
        <v>121</v>
      </c>
      <c r="C70" s="34"/>
      <c r="D70" s="80" t="s">
        <v>118</v>
      </c>
      <c r="E70" s="81" t="s">
        <v>10</v>
      </c>
    </row>
    <row r="71" spans="1:5" s="29" customFormat="1" ht="15" customHeight="1">
      <c r="A71" s="28"/>
      <c r="B71" s="88">
        <v>3</v>
      </c>
      <c r="C71" s="42">
        <v>50</v>
      </c>
      <c r="D71" s="62" t="s">
        <v>814</v>
      </c>
      <c r="E71" s="76">
        <f>IF(D71="",0,IF(D71&gt;=1.7,$B71,0))</f>
        <v>0</v>
      </c>
    </row>
    <row r="72" spans="1:5" s="29" customFormat="1" ht="15" customHeight="1">
      <c r="A72" s="28"/>
      <c r="B72" s="88">
        <v>3</v>
      </c>
      <c r="C72" s="42">
        <v>55</v>
      </c>
      <c r="D72" s="62" t="s">
        <v>814</v>
      </c>
      <c r="E72" s="76">
        <f t="shared" ref="E72:E77" si="4">IF(D72="",0,IF(D72&gt;=1.7,$B72,0))</f>
        <v>0</v>
      </c>
    </row>
    <row r="73" spans="1:5" s="29" customFormat="1" ht="15" customHeight="1">
      <c r="A73" s="28"/>
      <c r="B73" s="88">
        <v>1</v>
      </c>
      <c r="C73" s="42">
        <v>60</v>
      </c>
      <c r="D73" s="62" t="s">
        <v>814</v>
      </c>
      <c r="E73" s="76">
        <f t="shared" si="4"/>
        <v>0</v>
      </c>
    </row>
    <row r="74" spans="1:5" s="29" customFormat="1" ht="15" customHeight="1">
      <c r="A74" s="28"/>
      <c r="B74" s="88">
        <v>1</v>
      </c>
      <c r="C74" s="42">
        <v>65</v>
      </c>
      <c r="D74" s="62" t="s">
        <v>814</v>
      </c>
      <c r="E74" s="76">
        <f t="shared" si="4"/>
        <v>0</v>
      </c>
    </row>
    <row r="75" spans="1:5" s="29" customFormat="1" ht="15" customHeight="1">
      <c r="A75" s="28"/>
      <c r="B75" s="88">
        <v>1</v>
      </c>
      <c r="C75" s="42">
        <v>70</v>
      </c>
      <c r="D75" s="62" t="s">
        <v>814</v>
      </c>
      <c r="E75" s="76">
        <f t="shared" si="4"/>
        <v>0</v>
      </c>
    </row>
    <row r="76" spans="1:5" s="29" customFormat="1" ht="15" customHeight="1">
      <c r="A76" s="28"/>
      <c r="B76" s="88">
        <v>1</v>
      </c>
      <c r="C76" s="42">
        <v>75</v>
      </c>
      <c r="D76" s="62" t="s">
        <v>814</v>
      </c>
      <c r="E76" s="76">
        <f t="shared" si="4"/>
        <v>0</v>
      </c>
    </row>
    <row r="77" spans="1:5" s="29" customFormat="1" ht="15" customHeight="1" thickBot="1">
      <c r="A77" s="28"/>
      <c r="B77" s="88">
        <v>1</v>
      </c>
      <c r="C77" s="42">
        <v>80</v>
      </c>
      <c r="D77" s="62" t="s">
        <v>814</v>
      </c>
      <c r="E77" s="76">
        <f t="shared" si="4"/>
        <v>0</v>
      </c>
    </row>
    <row r="78" spans="1:5" s="29" customFormat="1" ht="15" customHeight="1" thickBot="1">
      <c r="A78" s="28"/>
      <c r="B78" s="510" t="s">
        <v>124</v>
      </c>
      <c r="C78" s="511"/>
      <c r="D78" s="512">
        <f>SUM(E71:E75,E76:E77)</f>
        <v>0</v>
      </c>
      <c r="E78" s="515"/>
    </row>
    <row r="79" spans="1:5" s="29" customFormat="1" ht="15" customHeight="1" thickBot="1">
      <c r="A79" s="28"/>
      <c r="B79" s="28"/>
      <c r="C79" s="30"/>
      <c r="D79" s="28"/>
      <c r="E79" s="28"/>
    </row>
    <row r="80" spans="1:5" s="29" customFormat="1" ht="15" customHeight="1" thickBot="1">
      <c r="A80" s="28"/>
      <c r="B80" s="480" t="s">
        <v>9</v>
      </c>
      <c r="C80" s="522"/>
      <c r="D80" s="523"/>
      <c r="E80" s="547"/>
    </row>
    <row r="81" spans="1:7" s="29" customFormat="1" ht="15" customHeight="1">
      <c r="A81" s="28"/>
      <c r="B81" s="86"/>
      <c r="C81" s="85" t="s">
        <v>714</v>
      </c>
      <c r="D81" s="548">
        <f>ROUND(D29/11,Round)</f>
        <v>0</v>
      </c>
      <c r="E81" s="549"/>
      <c r="F81" s="28"/>
    </row>
    <row r="82" spans="1:7" s="29" customFormat="1" ht="15" customHeight="1">
      <c r="A82" s="28"/>
      <c r="B82" s="36"/>
      <c r="C82" s="82" t="s">
        <v>123</v>
      </c>
      <c r="D82" s="517">
        <f>ROUND(D43/9,Round)</f>
        <v>0</v>
      </c>
      <c r="E82" s="520"/>
      <c r="F82" s="28"/>
    </row>
    <row r="83" spans="1:7" s="29" customFormat="1" ht="15" customHeight="1">
      <c r="A83" s="28"/>
      <c r="B83" s="36"/>
      <c r="C83" s="82" t="s">
        <v>716</v>
      </c>
      <c r="D83" s="517">
        <f>ROUND(D57/11,Round)</f>
        <v>0</v>
      </c>
      <c r="E83" s="520"/>
      <c r="F83" s="28"/>
    </row>
    <row r="84" spans="1:7" ht="15" customHeight="1" thickBot="1">
      <c r="B84" s="38"/>
      <c r="C84" s="84" t="s">
        <v>159</v>
      </c>
      <c r="D84" s="538">
        <f>ROUND((D68+D78)/27,Round)</f>
        <v>0</v>
      </c>
      <c r="E84" s="541"/>
      <c r="F84" s="69"/>
    </row>
    <row r="85" spans="1:7" ht="15" customHeight="1" thickBot="1">
      <c r="D85" s="546"/>
      <c r="E85" s="546"/>
    </row>
    <row r="86" spans="1:7" ht="21.75" thickBot="1">
      <c r="B86" s="533" t="s">
        <v>150</v>
      </c>
      <c r="C86" s="534"/>
      <c r="D86" s="535">
        <f>IF(D15="FAIL",0,ROUND(D81*3+D82*1.5+D83*1.5+D84*3,Round))</f>
        <v>0</v>
      </c>
      <c r="E86" s="537"/>
      <c r="F86" s="48"/>
      <c r="G86" s="69"/>
    </row>
    <row r="87" spans="1:7">
      <c r="G87" s="69"/>
    </row>
    <row r="88" spans="1:7">
      <c r="G88" s="28" t="s">
        <v>734</v>
      </c>
    </row>
  </sheetData>
  <dataConsolidate/>
  <mergeCells count="36">
    <mergeCell ref="D17:E17"/>
    <mergeCell ref="B29:C29"/>
    <mergeCell ref="D29:E29"/>
    <mergeCell ref="D45:E45"/>
    <mergeCell ref="B57:C57"/>
    <mergeCell ref="D57:E57"/>
    <mergeCell ref="D5:E5"/>
    <mergeCell ref="D6:E6"/>
    <mergeCell ref="D7:E7"/>
    <mergeCell ref="D8:E8"/>
    <mergeCell ref="D9:E9"/>
    <mergeCell ref="B86:C86"/>
    <mergeCell ref="D86:E86"/>
    <mergeCell ref="D85:E85"/>
    <mergeCell ref="D84:E84"/>
    <mergeCell ref="B80:C80"/>
    <mergeCell ref="D80:E80"/>
    <mergeCell ref="D82:E82"/>
    <mergeCell ref="D81:E81"/>
    <mergeCell ref="D83:E83"/>
    <mergeCell ref="B2:C4"/>
    <mergeCell ref="B43:C43"/>
    <mergeCell ref="D43:E43"/>
    <mergeCell ref="D68:E68"/>
    <mergeCell ref="B78:C78"/>
    <mergeCell ref="D59:E59"/>
    <mergeCell ref="D31:E31"/>
    <mergeCell ref="B68:C68"/>
    <mergeCell ref="B15:C15"/>
    <mergeCell ref="D15:E15"/>
    <mergeCell ref="D12:E12"/>
    <mergeCell ref="D78:E78"/>
    <mergeCell ref="D2:E3"/>
    <mergeCell ref="D13:E13"/>
    <mergeCell ref="D14:E14"/>
    <mergeCell ref="D11:E11"/>
  </mergeCells>
  <dataValidations count="2">
    <dataValidation type="list" allowBlank="1" showInputMessage="1" showErrorMessage="1" sqref="D13:E13 D14" xr:uid="{00000000-0002-0000-1100-000000000000}">
      <formula1>"YES,NO"</formula1>
    </dataValidation>
    <dataValidation type="list" allowBlank="1" showInputMessage="1" showErrorMessage="1" sqref="D7:E7" xr:uid="{00000000-0002-0000-1100-000001000000}">
      <formula1>"Auto-Brake,Auto-Brake with Forward Collision Warning"</formula1>
    </dataValidation>
  </dataValidations>
  <pageMargins left="0.8" right="0.44" top="0.53" bottom="1" header="0.5" footer="0.5"/>
  <pageSetup paperSize="9" scale="51"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6488C9-697B-4B2B-97CC-1271EBC90F5A}">
  <sheetPr codeName="Sheet24">
    <tabColor rgb="FF7030A0"/>
    <pageSetUpPr fitToPage="1"/>
  </sheetPr>
  <dimension ref="A1:R112"/>
  <sheetViews>
    <sheetView topLeftCell="A59" zoomScale="80" zoomScaleNormal="80" workbookViewId="0">
      <selection activeCell="N93" sqref="N93"/>
    </sheetView>
  </sheetViews>
  <sheetFormatPr defaultColWidth="8.85546875" defaultRowHeight="12.75"/>
  <cols>
    <col min="1" max="2" width="8.85546875" style="20"/>
    <col min="3" max="3" width="34.140625" style="20" customWidth="1"/>
    <col min="4" max="8" width="8.5703125" style="20" customWidth="1"/>
    <col min="9" max="9" width="11.5703125" style="20" customWidth="1"/>
    <col min="10" max="13" width="8.5703125" style="20" customWidth="1"/>
    <col min="14" max="19" width="8.85546875" style="20"/>
    <col min="20" max="20" width="10.42578125" style="20" customWidth="1"/>
    <col min="21" max="16384" width="8.85546875" style="20"/>
  </cols>
  <sheetData>
    <row r="1" spans="1:18" ht="13.5" thickBot="1">
      <c r="A1" s="54">
        <v>3</v>
      </c>
    </row>
    <row r="2" spans="1:18" s="26" customFormat="1" ht="30.75" customHeight="1">
      <c r="B2" s="600" t="s">
        <v>163</v>
      </c>
      <c r="C2" s="601"/>
      <c r="D2" s="607" t="s">
        <v>22</v>
      </c>
      <c r="E2" s="608"/>
      <c r="F2" s="608"/>
      <c r="G2" s="608"/>
      <c r="H2" s="609"/>
      <c r="I2" s="607" t="s">
        <v>28</v>
      </c>
      <c r="J2" s="608"/>
      <c r="K2" s="608"/>
      <c r="L2" s="608"/>
      <c r="M2" s="609"/>
    </row>
    <row r="3" spans="1:18" s="299" customFormat="1" ht="15" customHeight="1" thickBot="1">
      <c r="B3" s="602"/>
      <c r="C3" s="603"/>
      <c r="D3" s="610"/>
      <c r="E3" s="611"/>
      <c r="F3" s="611"/>
      <c r="G3" s="611"/>
      <c r="H3" s="612"/>
      <c r="I3" s="613"/>
      <c r="J3" s="614"/>
      <c r="K3" s="614"/>
      <c r="L3" s="614"/>
      <c r="M3" s="615"/>
      <c r="O3" s="28"/>
    </row>
    <row r="4" spans="1:18">
      <c r="B4" s="583" t="s">
        <v>29</v>
      </c>
      <c r="C4" s="584"/>
      <c r="D4" s="585"/>
      <c r="E4" s="586"/>
      <c r="F4" s="586"/>
      <c r="G4" s="586"/>
      <c r="H4" s="587"/>
      <c r="I4" s="588"/>
      <c r="J4" s="589"/>
      <c r="K4" s="589"/>
      <c r="L4" s="589"/>
      <c r="M4" s="590"/>
      <c r="O4" s="28"/>
    </row>
    <row r="5" spans="1:18">
      <c r="B5" s="300"/>
      <c r="C5" s="94" t="s">
        <v>53</v>
      </c>
      <c r="D5" s="591" t="s">
        <v>815</v>
      </c>
      <c r="E5" s="592"/>
      <c r="F5" s="592"/>
      <c r="G5" s="592"/>
      <c r="H5" s="593"/>
      <c r="I5" s="594"/>
      <c r="J5" s="595"/>
      <c r="K5" s="595"/>
      <c r="L5" s="595"/>
      <c r="M5" s="596"/>
      <c r="O5" s="28"/>
    </row>
    <row r="6" spans="1:18">
      <c r="B6" s="300"/>
      <c r="C6" s="301" t="s">
        <v>50</v>
      </c>
      <c r="D6" s="597"/>
      <c r="E6" s="598"/>
      <c r="F6" s="598"/>
      <c r="G6" s="598"/>
      <c r="H6" s="599"/>
      <c r="I6" s="594"/>
      <c r="J6" s="595"/>
      <c r="K6" s="595"/>
      <c r="L6" s="595"/>
      <c r="M6" s="596"/>
      <c r="O6" s="28"/>
    </row>
    <row r="7" spans="1:18">
      <c r="B7" s="300"/>
      <c r="C7" s="94" t="s">
        <v>30</v>
      </c>
      <c r="D7" s="591" t="s">
        <v>770</v>
      </c>
      <c r="E7" s="592"/>
      <c r="F7" s="592"/>
      <c r="G7" s="592"/>
      <c r="H7" s="593"/>
      <c r="I7" s="591" t="s">
        <v>770</v>
      </c>
      <c r="J7" s="592"/>
      <c r="K7" s="592"/>
      <c r="L7" s="592"/>
      <c r="M7" s="593"/>
      <c r="O7" s="28"/>
      <c r="P7" s="41"/>
      <c r="Q7" s="41"/>
      <c r="R7" s="41"/>
    </row>
    <row r="8" spans="1:18">
      <c r="B8" s="300"/>
      <c r="C8" s="94" t="s">
        <v>47</v>
      </c>
      <c r="D8" s="591">
        <v>5</v>
      </c>
      <c r="E8" s="592"/>
      <c r="F8" s="592"/>
      <c r="G8" s="592"/>
      <c r="H8" s="593"/>
      <c r="I8" s="591">
        <v>5</v>
      </c>
      <c r="J8" s="592"/>
      <c r="K8" s="592"/>
      <c r="L8" s="592"/>
      <c r="M8" s="593"/>
      <c r="O8" s="28"/>
    </row>
    <row r="9" spans="1:18" ht="13.5" thickBot="1">
      <c r="B9" s="302"/>
      <c r="C9" s="303" t="s">
        <v>31</v>
      </c>
      <c r="D9" s="591">
        <v>140</v>
      </c>
      <c r="E9" s="592"/>
      <c r="F9" s="592"/>
      <c r="G9" s="592"/>
      <c r="H9" s="593"/>
      <c r="I9" s="591">
        <v>140</v>
      </c>
      <c r="J9" s="592"/>
      <c r="K9" s="592"/>
      <c r="L9" s="592"/>
      <c r="M9" s="593"/>
      <c r="O9" s="28"/>
    </row>
    <row r="10" spans="1:18" ht="13.5" thickBot="1">
      <c r="O10" s="28"/>
    </row>
    <row r="11" spans="1:18">
      <c r="B11" s="95" t="s">
        <v>70</v>
      </c>
      <c r="C11" s="95"/>
      <c r="D11" s="585"/>
      <c r="E11" s="586"/>
      <c r="F11" s="586"/>
      <c r="G11" s="586"/>
      <c r="H11" s="587"/>
      <c r="I11" s="586"/>
      <c r="J11" s="586"/>
      <c r="K11" s="586"/>
      <c r="L11" s="586"/>
      <c r="M11" s="587"/>
      <c r="O11" s="28"/>
    </row>
    <row r="12" spans="1:18">
      <c r="B12" s="300"/>
      <c r="C12" s="94" t="s">
        <v>25</v>
      </c>
      <c r="D12" s="591" t="s">
        <v>771</v>
      </c>
      <c r="E12" s="592"/>
      <c r="F12" s="592"/>
      <c r="G12" s="592"/>
      <c r="H12" s="593"/>
      <c r="I12" s="591" t="s">
        <v>771</v>
      </c>
      <c r="J12" s="592"/>
      <c r="K12" s="592"/>
      <c r="L12" s="592"/>
      <c r="M12" s="593"/>
      <c r="O12" s="28"/>
    </row>
    <row r="13" spans="1:18">
      <c r="B13" s="300"/>
      <c r="C13" s="94" t="s">
        <v>151</v>
      </c>
      <c r="D13" s="591" t="s">
        <v>771</v>
      </c>
      <c r="E13" s="592"/>
      <c r="F13" s="592"/>
      <c r="G13" s="592"/>
      <c r="H13" s="593"/>
      <c r="I13" s="591" t="s">
        <v>771</v>
      </c>
      <c r="J13" s="592"/>
      <c r="K13" s="592"/>
      <c r="L13" s="592"/>
      <c r="M13" s="593"/>
      <c r="O13" s="28"/>
    </row>
    <row r="14" spans="1:18" ht="13.5" thickBot="1">
      <c r="B14" s="239"/>
      <c r="C14" s="32" t="s">
        <v>164</v>
      </c>
      <c r="D14" s="591" t="s">
        <v>205</v>
      </c>
      <c r="E14" s="592"/>
      <c r="F14" s="592"/>
      <c r="G14" s="592"/>
      <c r="H14" s="593"/>
      <c r="I14" s="591" t="s">
        <v>205</v>
      </c>
      <c r="J14" s="592"/>
      <c r="K14" s="592"/>
      <c r="L14" s="592"/>
      <c r="M14" s="593"/>
      <c r="O14" s="28"/>
    </row>
    <row r="15" spans="1:18" s="29" customFormat="1" ht="15" customHeight="1" thickBot="1">
      <c r="A15" s="28"/>
      <c r="B15" s="480" t="s">
        <v>70</v>
      </c>
      <c r="C15" s="481"/>
      <c r="D15" s="604" t="str">
        <f>IF(AND(D12="PASS",D13="PASS",D14="NO",I12="PASS",I13="PASS",I14="NO"),"PASS","FAIL")</f>
        <v>PASS</v>
      </c>
      <c r="E15" s="605"/>
      <c r="F15" s="605"/>
      <c r="G15" s="605"/>
      <c r="H15" s="605"/>
      <c r="I15" s="605"/>
      <c r="J15" s="605"/>
      <c r="K15" s="605"/>
      <c r="L15" s="605"/>
      <c r="M15" s="606"/>
      <c r="O15" s="28"/>
    </row>
    <row r="16" spans="1:18" ht="13.5" thickBot="1">
      <c r="O16" s="28"/>
    </row>
    <row r="17" spans="2:15" ht="30" customHeight="1" thickBot="1">
      <c r="B17" s="618" t="s">
        <v>23</v>
      </c>
      <c r="C17" s="619"/>
      <c r="D17" s="304">
        <v>-0.5</v>
      </c>
      <c r="E17" s="305">
        <v>-0.75</v>
      </c>
      <c r="F17" s="305">
        <v>1</v>
      </c>
      <c r="G17" s="305">
        <v>0.75</v>
      </c>
      <c r="H17" s="306">
        <v>0.5</v>
      </c>
      <c r="I17" s="307">
        <v>-0.5</v>
      </c>
      <c r="J17" s="308">
        <v>-0.75</v>
      </c>
      <c r="K17" s="308">
        <v>1</v>
      </c>
      <c r="L17" s="308">
        <v>0.75</v>
      </c>
      <c r="M17" s="309">
        <v>0.5</v>
      </c>
      <c r="O17" s="28"/>
    </row>
    <row r="18" spans="2:15" ht="15" customHeight="1">
      <c r="B18" s="620" t="s">
        <v>102</v>
      </c>
      <c r="C18" s="310">
        <v>10</v>
      </c>
      <c r="D18" s="365" t="s">
        <v>207</v>
      </c>
      <c r="E18" s="366" t="s">
        <v>207</v>
      </c>
      <c r="F18" s="366" t="s">
        <v>207</v>
      </c>
      <c r="G18" s="366" t="s">
        <v>207</v>
      </c>
      <c r="H18" s="367" t="s">
        <v>207</v>
      </c>
      <c r="I18" s="585"/>
      <c r="J18" s="586"/>
      <c r="K18" s="586"/>
      <c r="L18" s="586"/>
      <c r="M18" s="587"/>
      <c r="N18" s="298" t="str">
        <f t="array" ref="N18">IF(OR(CCRs_AEB_GR="Yellow",CCRs_AEB_GR="Orange",CCRs_AEB_GR="BROWN"),"CCRs AEB ERROR - Incorrect Colour where only Green, Red allowed","")</f>
        <v/>
      </c>
      <c r="O18" s="28"/>
    </row>
    <row r="19" spans="2:15" ht="15" customHeight="1">
      <c r="B19" s="621"/>
      <c r="C19" s="311">
        <v>15</v>
      </c>
      <c r="D19" s="368" t="s">
        <v>207</v>
      </c>
      <c r="E19" s="369" t="s">
        <v>207</v>
      </c>
      <c r="F19" s="369" t="s">
        <v>207</v>
      </c>
      <c r="G19" s="369" t="s">
        <v>207</v>
      </c>
      <c r="H19" s="370" t="s">
        <v>207</v>
      </c>
      <c r="I19" s="597"/>
      <c r="J19" s="598"/>
      <c r="K19" s="598"/>
      <c r="L19" s="598"/>
      <c r="M19" s="599"/>
      <c r="N19" s="298"/>
      <c r="O19" s="28"/>
    </row>
    <row r="20" spans="2:15" ht="15" customHeight="1">
      <c r="B20" s="621"/>
      <c r="C20" s="311">
        <v>20</v>
      </c>
      <c r="D20" s="368" t="s">
        <v>207</v>
      </c>
      <c r="E20" s="369" t="s">
        <v>207</v>
      </c>
      <c r="F20" s="369" t="s">
        <v>207</v>
      </c>
      <c r="G20" s="369" t="s">
        <v>207</v>
      </c>
      <c r="H20" s="370" t="s">
        <v>207</v>
      </c>
      <c r="I20" s="597"/>
      <c r="J20" s="598"/>
      <c r="K20" s="598"/>
      <c r="L20" s="598"/>
      <c r="M20" s="599"/>
      <c r="N20" s="298"/>
      <c r="O20" s="28"/>
    </row>
    <row r="21" spans="2:15" ht="15" customHeight="1" thickBot="1">
      <c r="B21" s="621"/>
      <c r="C21" s="311">
        <v>25</v>
      </c>
      <c r="D21" s="368" t="s">
        <v>207</v>
      </c>
      <c r="E21" s="369" t="s">
        <v>207</v>
      </c>
      <c r="F21" s="369" t="s">
        <v>207</v>
      </c>
      <c r="G21" s="369" t="s">
        <v>207</v>
      </c>
      <c r="H21" s="370" t="s">
        <v>207</v>
      </c>
      <c r="I21" s="597"/>
      <c r="J21" s="598"/>
      <c r="K21" s="598"/>
      <c r="L21" s="598"/>
      <c r="M21" s="599"/>
      <c r="N21" s="298" t="str">
        <f t="array" ref="N21">IF(OR(CCRs_AEB_GOR="Yellow",CCRs_AEB_GOR="BROWN"),"CCRs AEB ERROR - Incorrect Colour where only Green, Orange, Red allowed","")</f>
        <v/>
      </c>
      <c r="O21" s="28"/>
    </row>
    <row r="22" spans="2:15" ht="15" customHeight="1">
      <c r="B22" s="621"/>
      <c r="C22" s="311">
        <v>30</v>
      </c>
      <c r="D22" s="368" t="s">
        <v>207</v>
      </c>
      <c r="E22" s="369" t="s">
        <v>207</v>
      </c>
      <c r="F22" s="369" t="s">
        <v>207</v>
      </c>
      <c r="G22" s="369" t="s">
        <v>207</v>
      </c>
      <c r="H22" s="370" t="s">
        <v>207</v>
      </c>
      <c r="I22" s="365" t="s">
        <v>210</v>
      </c>
      <c r="J22" s="366" t="s">
        <v>207</v>
      </c>
      <c r="K22" s="366" t="s">
        <v>207</v>
      </c>
      <c r="L22" s="366" t="s">
        <v>207</v>
      </c>
      <c r="M22" s="367" t="s">
        <v>210</v>
      </c>
      <c r="N22" s="298" t="str">
        <f t="array" ref="N22">IF(OR(CCRs_AEB_GYOR="BROWN"),"CCRs AEB ERROR - Incorrect Colour where only Green, Yellow, Orange, Red allowed","")</f>
        <v/>
      </c>
      <c r="O22" s="28"/>
    </row>
    <row r="23" spans="2:15" ht="15" customHeight="1">
      <c r="B23" s="621"/>
      <c r="C23" s="311">
        <v>35</v>
      </c>
      <c r="D23" s="368" t="s">
        <v>207</v>
      </c>
      <c r="E23" s="369" t="s">
        <v>207</v>
      </c>
      <c r="F23" s="369" t="s">
        <v>207</v>
      </c>
      <c r="G23" s="369" t="s">
        <v>207</v>
      </c>
      <c r="H23" s="370" t="s">
        <v>207</v>
      </c>
      <c r="I23" s="368" t="s">
        <v>208</v>
      </c>
      <c r="J23" s="369" t="s">
        <v>207</v>
      </c>
      <c r="K23" s="369" t="s">
        <v>207</v>
      </c>
      <c r="L23" s="369" t="s">
        <v>207</v>
      </c>
      <c r="M23" s="370" t="s">
        <v>208</v>
      </c>
      <c r="N23" s="298" t="str">
        <f t="array" ref="N23">IF(OR(CCRs_FCW_GYOR="BROWN"),"CCRs FCW ERROR - Incorrect Colour where only Green, Yellow, Orange, Red allowed","")</f>
        <v/>
      </c>
      <c r="O23" s="28"/>
    </row>
    <row r="24" spans="2:15" ht="15" customHeight="1">
      <c r="B24" s="621"/>
      <c r="C24" s="311">
        <v>40</v>
      </c>
      <c r="D24" s="368" t="s">
        <v>207</v>
      </c>
      <c r="E24" s="369" t="s">
        <v>208</v>
      </c>
      <c r="F24" s="369" t="s">
        <v>207</v>
      </c>
      <c r="G24" s="369" t="s">
        <v>208</v>
      </c>
      <c r="H24" s="370" t="s">
        <v>207</v>
      </c>
      <c r="I24" s="368" t="s">
        <v>208</v>
      </c>
      <c r="J24" s="369" t="s">
        <v>207</v>
      </c>
      <c r="K24" s="369" t="s">
        <v>207</v>
      </c>
      <c r="L24" s="369" t="s">
        <v>207</v>
      </c>
      <c r="M24" s="370" t="s">
        <v>208</v>
      </c>
      <c r="O24" s="28"/>
    </row>
    <row r="25" spans="2:15" ht="15" customHeight="1">
      <c r="B25" s="621"/>
      <c r="C25" s="311">
        <v>45</v>
      </c>
      <c r="D25" s="368" t="s">
        <v>207</v>
      </c>
      <c r="E25" s="369" t="s">
        <v>208</v>
      </c>
      <c r="F25" s="369" t="s">
        <v>210</v>
      </c>
      <c r="G25" s="369" t="s">
        <v>208</v>
      </c>
      <c r="H25" s="370" t="s">
        <v>207</v>
      </c>
      <c r="I25" s="368" t="s">
        <v>208</v>
      </c>
      <c r="J25" s="369" t="s">
        <v>207</v>
      </c>
      <c r="K25" s="369" t="s">
        <v>207</v>
      </c>
      <c r="L25" s="369" t="s">
        <v>207</v>
      </c>
      <c r="M25" s="370" t="s">
        <v>208</v>
      </c>
      <c r="O25" s="28"/>
    </row>
    <row r="26" spans="2:15" ht="15" customHeight="1">
      <c r="B26" s="621"/>
      <c r="C26" s="311">
        <v>50</v>
      </c>
      <c r="D26" s="368" t="s">
        <v>207</v>
      </c>
      <c r="E26" s="369" t="s">
        <v>210</v>
      </c>
      <c r="F26" s="369" t="s">
        <v>207</v>
      </c>
      <c r="G26" s="369" t="s">
        <v>210</v>
      </c>
      <c r="H26" s="370" t="s">
        <v>207</v>
      </c>
      <c r="I26" s="368" t="s">
        <v>208</v>
      </c>
      <c r="J26" s="369" t="s">
        <v>207</v>
      </c>
      <c r="K26" s="369" t="s">
        <v>207</v>
      </c>
      <c r="L26" s="369" t="s">
        <v>207</v>
      </c>
      <c r="M26" s="370" t="s">
        <v>208</v>
      </c>
      <c r="O26" s="28"/>
    </row>
    <row r="27" spans="2:15" ht="15" customHeight="1">
      <c r="B27" s="621"/>
      <c r="C27" s="311">
        <v>55</v>
      </c>
      <c r="D27" s="597"/>
      <c r="E27" s="598"/>
      <c r="F27" s="598"/>
      <c r="G27" s="598"/>
      <c r="H27" s="598"/>
      <c r="I27" s="368" t="s">
        <v>206</v>
      </c>
      <c r="J27" s="369" t="s">
        <v>210</v>
      </c>
      <c r="K27" s="369" t="s">
        <v>210</v>
      </c>
      <c r="L27" s="369" t="s">
        <v>210</v>
      </c>
      <c r="M27" s="370" t="s">
        <v>206</v>
      </c>
      <c r="O27" s="28"/>
    </row>
    <row r="28" spans="2:15" ht="15" customHeight="1">
      <c r="B28" s="621"/>
      <c r="C28" s="311">
        <v>60</v>
      </c>
      <c r="D28" s="597"/>
      <c r="E28" s="598"/>
      <c r="F28" s="598"/>
      <c r="G28" s="598"/>
      <c r="H28" s="598"/>
      <c r="I28" s="368" t="s">
        <v>209</v>
      </c>
      <c r="J28" s="369" t="s">
        <v>208</v>
      </c>
      <c r="K28" s="369" t="s">
        <v>210</v>
      </c>
      <c r="L28" s="369" t="s">
        <v>208</v>
      </c>
      <c r="M28" s="370" t="s">
        <v>209</v>
      </c>
      <c r="O28" s="28"/>
    </row>
    <row r="29" spans="2:15" ht="15" customHeight="1">
      <c r="B29" s="621"/>
      <c r="C29" s="311">
        <v>65</v>
      </c>
      <c r="D29" s="597"/>
      <c r="E29" s="598"/>
      <c r="F29" s="598"/>
      <c r="G29" s="598"/>
      <c r="H29" s="598"/>
      <c r="I29" s="368" t="s">
        <v>206</v>
      </c>
      <c r="J29" s="369" t="s">
        <v>208</v>
      </c>
      <c r="K29" s="369" t="s">
        <v>208</v>
      </c>
      <c r="L29" s="369" t="s">
        <v>208</v>
      </c>
      <c r="M29" s="370" t="s">
        <v>206</v>
      </c>
      <c r="O29" s="28"/>
    </row>
    <row r="30" spans="2:15" ht="15" customHeight="1">
      <c r="B30" s="621"/>
      <c r="C30" s="311">
        <v>70</v>
      </c>
      <c r="D30" s="597"/>
      <c r="E30" s="598"/>
      <c r="F30" s="598"/>
      <c r="G30" s="598"/>
      <c r="H30" s="598"/>
      <c r="I30" s="368" t="s">
        <v>206</v>
      </c>
      <c r="J30" s="369" t="s">
        <v>206</v>
      </c>
      <c r="K30" s="369" t="s">
        <v>209</v>
      </c>
      <c r="L30" s="369" t="s">
        <v>206</v>
      </c>
      <c r="M30" s="370" t="s">
        <v>206</v>
      </c>
      <c r="O30" s="28"/>
    </row>
    <row r="31" spans="2:15" ht="15" customHeight="1">
      <c r="B31" s="621"/>
      <c r="C31" s="311">
        <v>75</v>
      </c>
      <c r="D31" s="597"/>
      <c r="E31" s="598"/>
      <c r="F31" s="598"/>
      <c r="G31" s="598"/>
      <c r="H31" s="598"/>
      <c r="I31" s="368" t="s">
        <v>206</v>
      </c>
      <c r="J31" s="369" t="s">
        <v>206</v>
      </c>
      <c r="K31" s="369" t="s">
        <v>206</v>
      </c>
      <c r="L31" s="369" t="s">
        <v>206</v>
      </c>
      <c r="M31" s="370" t="s">
        <v>206</v>
      </c>
      <c r="O31" s="28"/>
    </row>
    <row r="32" spans="2:15" ht="15" customHeight="1" thickBot="1">
      <c r="B32" s="622"/>
      <c r="C32" s="312">
        <v>80</v>
      </c>
      <c r="D32" s="616"/>
      <c r="E32" s="617"/>
      <c r="F32" s="617"/>
      <c r="G32" s="617"/>
      <c r="H32" s="617"/>
      <c r="I32" s="368" t="s">
        <v>206</v>
      </c>
      <c r="J32" s="369" t="s">
        <v>206</v>
      </c>
      <c r="K32" s="369" t="s">
        <v>206</v>
      </c>
      <c r="L32" s="369" t="s">
        <v>206</v>
      </c>
      <c r="M32" s="370" t="s">
        <v>206</v>
      </c>
      <c r="O32" s="28"/>
    </row>
    <row r="33" spans="2:15" ht="15" customHeight="1" thickBot="1">
      <c r="B33" s="623" t="s">
        <v>152</v>
      </c>
      <c r="C33" s="624"/>
      <c r="D33" s="628">
        <v>0.95830000000000004</v>
      </c>
      <c r="E33" s="628"/>
      <c r="F33" s="628"/>
      <c r="G33" s="628"/>
      <c r="H33" s="629"/>
      <c r="I33" s="628">
        <v>0.54169999999999996</v>
      </c>
      <c r="J33" s="628"/>
      <c r="K33" s="628"/>
      <c r="L33" s="628"/>
      <c r="M33" s="629"/>
      <c r="O33" s="28"/>
    </row>
    <row r="34" spans="2:15" ht="15" customHeight="1" thickBot="1">
      <c r="B34" s="93"/>
      <c r="E34" s="93"/>
      <c r="J34" s="93"/>
      <c r="O34" s="28"/>
    </row>
    <row r="35" spans="2:15" ht="30" customHeight="1" thickBot="1">
      <c r="B35" s="618" t="s">
        <v>32</v>
      </c>
      <c r="C35" s="619"/>
      <c r="D35" s="313">
        <v>-0.5</v>
      </c>
      <c r="E35" s="308">
        <v>-0.75</v>
      </c>
      <c r="F35" s="314">
        <v>1</v>
      </c>
      <c r="G35" s="308">
        <v>0.75</v>
      </c>
      <c r="H35" s="309">
        <v>0.5</v>
      </c>
      <c r="I35" s="313">
        <v>-0.5</v>
      </c>
      <c r="J35" s="308">
        <v>-0.75</v>
      </c>
      <c r="K35" s="308">
        <v>1</v>
      </c>
      <c r="L35" s="308">
        <v>0.75</v>
      </c>
      <c r="M35" s="309">
        <v>0.5</v>
      </c>
      <c r="O35" s="28"/>
    </row>
    <row r="36" spans="2:15" ht="15" customHeight="1">
      <c r="B36" s="620" t="s">
        <v>102</v>
      </c>
      <c r="C36" s="315">
        <v>30</v>
      </c>
      <c r="D36" s="365" t="s">
        <v>207</v>
      </c>
      <c r="E36" s="366" t="s">
        <v>207</v>
      </c>
      <c r="F36" s="366" t="s">
        <v>207</v>
      </c>
      <c r="G36" s="366" t="s">
        <v>207</v>
      </c>
      <c r="H36" s="367" t="s">
        <v>207</v>
      </c>
      <c r="I36" s="585"/>
      <c r="J36" s="586"/>
      <c r="K36" s="586"/>
      <c r="L36" s="586"/>
      <c r="M36" s="587"/>
      <c r="N36" s="298" t="str">
        <f t="array" ref="N36">IF(OR(CCRm_AEB_GR="Yellow",CCRm_AEB_GR="Orange",CCRm_AEB_GR="BROWN"),"CCRm AEB ERROR - Incorrect Colour where only Green, Red allowed","")</f>
        <v/>
      </c>
      <c r="O36" s="28"/>
    </row>
    <row r="37" spans="2:15" ht="15" customHeight="1">
      <c r="B37" s="621"/>
      <c r="C37" s="316">
        <v>35</v>
      </c>
      <c r="D37" s="368" t="s">
        <v>207</v>
      </c>
      <c r="E37" s="369" t="s">
        <v>207</v>
      </c>
      <c r="F37" s="369" t="s">
        <v>207</v>
      </c>
      <c r="G37" s="369" t="s">
        <v>207</v>
      </c>
      <c r="H37" s="370" t="s">
        <v>207</v>
      </c>
      <c r="I37" s="597"/>
      <c r="J37" s="598"/>
      <c r="K37" s="598"/>
      <c r="L37" s="598"/>
      <c r="M37" s="599"/>
      <c r="N37" s="298"/>
      <c r="O37" s="28"/>
    </row>
    <row r="38" spans="2:15" ht="15" customHeight="1">
      <c r="B38" s="621"/>
      <c r="C38" s="316">
        <v>40</v>
      </c>
      <c r="D38" s="368" t="s">
        <v>207</v>
      </c>
      <c r="E38" s="369" t="s">
        <v>207</v>
      </c>
      <c r="F38" s="369" t="s">
        <v>207</v>
      </c>
      <c r="G38" s="369" t="s">
        <v>207</v>
      </c>
      <c r="H38" s="370" t="s">
        <v>207</v>
      </c>
      <c r="I38" s="597"/>
      <c r="J38" s="598"/>
      <c r="K38" s="598"/>
      <c r="L38" s="598"/>
      <c r="M38" s="599"/>
      <c r="N38" s="298" t="str">
        <f t="array" ref="N38">IF(OR(CCRm_AEB_GOR="Yellow",CCRm_AEB_GOR="BROWN"),"CCRm AEB ERROR - Incorrect Colour where only Green, Orange, Red allowed","")</f>
        <v/>
      </c>
      <c r="O38" s="28"/>
    </row>
    <row r="39" spans="2:15" ht="15" customHeight="1" thickBot="1">
      <c r="B39" s="621"/>
      <c r="C39" s="316">
        <v>45</v>
      </c>
      <c r="D39" s="368" t="s">
        <v>207</v>
      </c>
      <c r="E39" s="369" t="s">
        <v>207</v>
      </c>
      <c r="F39" s="369" t="s">
        <v>207</v>
      </c>
      <c r="G39" s="369" t="s">
        <v>207</v>
      </c>
      <c r="H39" s="370" t="s">
        <v>207</v>
      </c>
      <c r="I39" s="597"/>
      <c r="J39" s="598"/>
      <c r="K39" s="598"/>
      <c r="L39" s="598"/>
      <c r="M39" s="599"/>
      <c r="N39" s="298"/>
      <c r="O39" s="28"/>
    </row>
    <row r="40" spans="2:15" ht="15" customHeight="1">
      <c r="B40" s="621"/>
      <c r="C40" s="316">
        <v>50</v>
      </c>
      <c r="D40" s="368" t="s">
        <v>207</v>
      </c>
      <c r="E40" s="369" t="s">
        <v>207</v>
      </c>
      <c r="F40" s="369" t="s">
        <v>207</v>
      </c>
      <c r="G40" s="369" t="s">
        <v>207</v>
      </c>
      <c r="H40" s="370" t="s">
        <v>207</v>
      </c>
      <c r="I40" s="365" t="s">
        <v>207</v>
      </c>
      <c r="J40" s="366" t="s">
        <v>207</v>
      </c>
      <c r="K40" s="366" t="s">
        <v>207</v>
      </c>
      <c r="L40" s="366" t="s">
        <v>207</v>
      </c>
      <c r="M40" s="367" t="s">
        <v>207</v>
      </c>
      <c r="N40" s="298" t="str">
        <f t="array" ref="N40">IF(OR(CCRm_AEB_GYOR="BROWN"),"CCRm AEB ERROR - Incorrect Colour where only Green, Yellow, Orange, Red allowed","")</f>
        <v/>
      </c>
      <c r="O40" s="28"/>
    </row>
    <row r="41" spans="2:15" ht="15" customHeight="1">
      <c r="B41" s="621"/>
      <c r="C41" s="316">
        <v>55</v>
      </c>
      <c r="D41" s="368" t="s">
        <v>207</v>
      </c>
      <c r="E41" s="369" t="s">
        <v>207</v>
      </c>
      <c r="F41" s="369" t="s">
        <v>207</v>
      </c>
      <c r="G41" s="369" t="s">
        <v>207</v>
      </c>
      <c r="H41" s="370" t="s">
        <v>207</v>
      </c>
      <c r="I41" s="368" t="s">
        <v>207</v>
      </c>
      <c r="J41" s="369" t="s">
        <v>207</v>
      </c>
      <c r="K41" s="369" t="s">
        <v>207</v>
      </c>
      <c r="L41" s="369" t="s">
        <v>207</v>
      </c>
      <c r="M41" s="370" t="s">
        <v>207</v>
      </c>
      <c r="N41" s="298" t="str">
        <f t="array" ref="N41">IF(OR(CCRm_FCW_GYOR="BROWN"),"CCRm FCW ERROR - Incorrect Colour where only Green, Yellow, Orange, Red allowed","")</f>
        <v/>
      </c>
      <c r="O41" s="28"/>
    </row>
    <row r="42" spans="2:15" ht="15" customHeight="1">
      <c r="B42" s="621"/>
      <c r="C42" s="316">
        <v>60</v>
      </c>
      <c r="D42" s="368" t="s">
        <v>208</v>
      </c>
      <c r="E42" s="369" t="s">
        <v>207</v>
      </c>
      <c r="F42" s="369" t="s">
        <v>210</v>
      </c>
      <c r="G42" s="369" t="s">
        <v>207</v>
      </c>
      <c r="H42" s="370" t="s">
        <v>208</v>
      </c>
      <c r="I42" s="368" t="s">
        <v>207</v>
      </c>
      <c r="J42" s="369" t="s">
        <v>207</v>
      </c>
      <c r="K42" s="369" t="s">
        <v>207</v>
      </c>
      <c r="L42" s="369" t="s">
        <v>207</v>
      </c>
      <c r="M42" s="370" t="s">
        <v>207</v>
      </c>
      <c r="N42" s="41"/>
      <c r="O42" s="28"/>
    </row>
    <row r="43" spans="2:15" ht="15" customHeight="1">
      <c r="B43" s="621"/>
      <c r="C43" s="316">
        <v>65</v>
      </c>
      <c r="D43" s="368" t="s">
        <v>207</v>
      </c>
      <c r="E43" s="369" t="s">
        <v>207</v>
      </c>
      <c r="F43" s="369" t="s">
        <v>207</v>
      </c>
      <c r="G43" s="369" t="s">
        <v>207</v>
      </c>
      <c r="H43" s="370" t="s">
        <v>207</v>
      </c>
      <c r="I43" s="368" t="s">
        <v>207</v>
      </c>
      <c r="J43" s="369" t="s">
        <v>207</v>
      </c>
      <c r="K43" s="369" t="s">
        <v>207</v>
      </c>
      <c r="L43" s="369" t="s">
        <v>207</v>
      </c>
      <c r="M43" s="370" t="s">
        <v>207</v>
      </c>
      <c r="N43" s="41"/>
      <c r="O43" s="28"/>
    </row>
    <row r="44" spans="2:15" ht="15" customHeight="1">
      <c r="B44" s="621"/>
      <c r="C44" s="316">
        <v>70</v>
      </c>
      <c r="D44" s="368" t="s">
        <v>210</v>
      </c>
      <c r="E44" s="369" t="s">
        <v>207</v>
      </c>
      <c r="F44" s="369" t="s">
        <v>207</v>
      </c>
      <c r="G44" s="369" t="s">
        <v>207</v>
      </c>
      <c r="H44" s="370" t="s">
        <v>210</v>
      </c>
      <c r="I44" s="368" t="s">
        <v>207</v>
      </c>
      <c r="J44" s="369" t="s">
        <v>207</v>
      </c>
      <c r="K44" s="369" t="s">
        <v>207</v>
      </c>
      <c r="L44" s="369" t="s">
        <v>207</v>
      </c>
      <c r="M44" s="370" t="s">
        <v>207</v>
      </c>
      <c r="N44" s="41"/>
      <c r="O44" s="28"/>
    </row>
    <row r="45" spans="2:15" ht="15" customHeight="1">
      <c r="B45" s="621"/>
      <c r="C45" s="316">
        <v>75</v>
      </c>
      <c r="D45" s="368" t="s">
        <v>208</v>
      </c>
      <c r="E45" s="369" t="s">
        <v>208</v>
      </c>
      <c r="F45" s="369" t="s">
        <v>208</v>
      </c>
      <c r="G45" s="369" t="s">
        <v>208</v>
      </c>
      <c r="H45" s="370" t="s">
        <v>208</v>
      </c>
      <c r="I45" s="368" t="s">
        <v>207</v>
      </c>
      <c r="J45" s="369" t="s">
        <v>207</v>
      </c>
      <c r="K45" s="369" t="s">
        <v>207</v>
      </c>
      <c r="L45" s="369" t="s">
        <v>207</v>
      </c>
      <c r="M45" s="370" t="s">
        <v>207</v>
      </c>
      <c r="N45" s="41"/>
      <c r="O45" s="28"/>
    </row>
    <row r="46" spans="2:15" ht="15" customHeight="1" thickBot="1">
      <c r="B46" s="622"/>
      <c r="C46" s="317">
        <v>80</v>
      </c>
      <c r="D46" s="371" t="s">
        <v>209</v>
      </c>
      <c r="E46" s="372" t="s">
        <v>208</v>
      </c>
      <c r="F46" s="372" t="s">
        <v>208</v>
      </c>
      <c r="G46" s="372" t="s">
        <v>208</v>
      </c>
      <c r="H46" s="373" t="s">
        <v>209</v>
      </c>
      <c r="I46" s="371" t="s">
        <v>210</v>
      </c>
      <c r="J46" s="372" t="s">
        <v>207</v>
      </c>
      <c r="K46" s="372" t="s">
        <v>207</v>
      </c>
      <c r="L46" s="372" t="s">
        <v>207</v>
      </c>
      <c r="M46" s="373" t="s">
        <v>210</v>
      </c>
      <c r="N46" s="41"/>
      <c r="O46" s="28"/>
    </row>
    <row r="47" spans="2:15" ht="15" customHeight="1" thickBot="1">
      <c r="B47" s="623" t="s">
        <v>153</v>
      </c>
      <c r="C47" s="624"/>
      <c r="D47" s="625">
        <v>0.57779999999999998</v>
      </c>
      <c r="E47" s="626"/>
      <c r="F47" s="626"/>
      <c r="G47" s="626"/>
      <c r="H47" s="627"/>
      <c r="I47" s="628">
        <v>1</v>
      </c>
      <c r="J47" s="628"/>
      <c r="K47" s="628"/>
      <c r="L47" s="628"/>
      <c r="M47" s="629"/>
      <c r="O47" s="28"/>
    </row>
    <row r="48" spans="2:15" ht="15" customHeight="1" thickBot="1">
      <c r="B48" s="93"/>
      <c r="E48" s="93"/>
      <c r="J48" s="93"/>
      <c r="O48" s="28"/>
    </row>
    <row r="49" spans="1:15" ht="30" customHeight="1" thickBot="1">
      <c r="B49" s="618" t="s">
        <v>33</v>
      </c>
      <c r="C49" s="619"/>
      <c r="D49" s="619"/>
      <c r="E49" s="619"/>
      <c r="F49" s="619"/>
      <c r="G49" s="619"/>
      <c r="H49" s="619"/>
      <c r="I49" s="619"/>
      <c r="J49" s="619"/>
      <c r="K49" s="619"/>
      <c r="L49" s="619"/>
      <c r="M49" s="630"/>
      <c r="O49" s="28"/>
    </row>
    <row r="50" spans="1:15" ht="15" customHeight="1" thickBot="1">
      <c r="B50" s="631" t="s">
        <v>154</v>
      </c>
      <c r="C50" s="632"/>
      <c r="D50" s="633" t="s">
        <v>155</v>
      </c>
      <c r="E50" s="634"/>
      <c r="F50" s="634" t="s">
        <v>10</v>
      </c>
      <c r="G50" s="634"/>
      <c r="H50" s="635"/>
      <c r="I50" s="633" t="s">
        <v>155</v>
      </c>
      <c r="J50" s="634"/>
      <c r="K50" s="634" t="s">
        <v>10</v>
      </c>
      <c r="L50" s="634"/>
      <c r="M50" s="635"/>
      <c r="O50" s="28"/>
    </row>
    <row r="51" spans="1:15" ht="15" customHeight="1">
      <c r="B51" s="318"/>
      <c r="C51" s="319" t="s">
        <v>34</v>
      </c>
      <c r="D51" s="574"/>
      <c r="E51" s="575"/>
      <c r="F51" s="576"/>
      <c r="G51" s="576"/>
      <c r="H51" s="577"/>
      <c r="I51" s="574"/>
      <c r="J51" s="575"/>
      <c r="K51" s="576"/>
      <c r="L51" s="576"/>
      <c r="M51" s="577"/>
      <c r="O51" s="28"/>
    </row>
    <row r="52" spans="1:15" ht="15" customHeight="1">
      <c r="B52" s="318"/>
      <c r="C52" s="320" t="s">
        <v>35</v>
      </c>
      <c r="D52" s="579" t="s">
        <v>207</v>
      </c>
      <c r="E52" s="580"/>
      <c r="F52" s="576">
        <f>IF(D52="Green",1,IF(D52="Yellow",0.75,IF(D52="Orange",0.5,IF(D52="Brown",0.25,0))))</f>
        <v>1</v>
      </c>
      <c r="G52" s="576"/>
      <c r="H52" s="577"/>
      <c r="I52" s="579" t="s">
        <v>207</v>
      </c>
      <c r="J52" s="580"/>
      <c r="K52" s="576">
        <f>IF(I52="Green",1,IF(I52="Yellow",0.75,IF(I52="Orange",0.5,IF(I52="Brown",0.25,0))))</f>
        <v>1</v>
      </c>
      <c r="L52" s="576"/>
      <c r="M52" s="577"/>
      <c r="O52" s="28"/>
    </row>
    <row r="53" spans="1:15" ht="15" customHeight="1">
      <c r="B53" s="318"/>
      <c r="C53" s="320" t="s">
        <v>36</v>
      </c>
      <c r="D53" s="579" t="s">
        <v>208</v>
      </c>
      <c r="E53" s="580"/>
      <c r="F53" s="576">
        <f>IF(D53="Green",1,IF(D53="Yellow",0.75,IF(D53="Orange",0.5,IF(D53="Brown",0.25,0))))</f>
        <v>0.5</v>
      </c>
      <c r="G53" s="576"/>
      <c r="H53" s="577"/>
      <c r="I53" s="579" t="s">
        <v>208</v>
      </c>
      <c r="J53" s="580"/>
      <c r="K53" s="576">
        <f>IF(I53="Green",1,IF(I53="Yellow",0.75,IF(I53="Orange",0.5,IF(I53="Brown",0.25,0))))</f>
        <v>0.5</v>
      </c>
      <c r="L53" s="576"/>
      <c r="M53" s="577"/>
      <c r="O53" s="28"/>
    </row>
    <row r="54" spans="1:15" ht="15" customHeight="1">
      <c r="B54" s="318"/>
      <c r="C54" s="319" t="s">
        <v>37</v>
      </c>
      <c r="D54" s="574"/>
      <c r="E54" s="575"/>
      <c r="F54" s="575"/>
      <c r="G54" s="575"/>
      <c r="H54" s="578"/>
      <c r="I54" s="574"/>
      <c r="J54" s="575"/>
      <c r="K54" s="575"/>
      <c r="L54" s="575"/>
      <c r="M54" s="578"/>
      <c r="O54" s="28"/>
    </row>
    <row r="55" spans="1:15" ht="15" customHeight="1">
      <c r="B55" s="318"/>
      <c r="C55" s="320" t="s">
        <v>35</v>
      </c>
      <c r="D55" s="579" t="s">
        <v>210</v>
      </c>
      <c r="E55" s="580"/>
      <c r="F55" s="576">
        <f>IF(D55="Green",1,IF(D55="Yellow",0.75,IF(D55="Orange",0.5,IF(D55="Brown",0.25,0))))</f>
        <v>0.75</v>
      </c>
      <c r="G55" s="576"/>
      <c r="H55" s="577"/>
      <c r="I55" s="579" t="s">
        <v>210</v>
      </c>
      <c r="J55" s="580"/>
      <c r="K55" s="576">
        <f>IF(I55="Green",1,IF(I55="Yellow",0.75,IF(I55="Orange",0.5,IF(I55="Brown",0.25,0))))</f>
        <v>0.75</v>
      </c>
      <c r="L55" s="576"/>
      <c r="M55" s="577"/>
      <c r="O55" s="28"/>
    </row>
    <row r="56" spans="1:15" ht="15" customHeight="1" thickBot="1">
      <c r="B56" s="321"/>
      <c r="C56" s="322" t="s">
        <v>36</v>
      </c>
      <c r="D56" s="579" t="s">
        <v>207</v>
      </c>
      <c r="E56" s="580"/>
      <c r="F56" s="581">
        <f>IF(D56="Green",1,IF(D56="Yellow",0.75,IF(D56="Orange",0.5,IF(D56="Brown",0.25,0))))</f>
        <v>1</v>
      </c>
      <c r="G56" s="581"/>
      <c r="H56" s="582"/>
      <c r="I56" s="579" t="s">
        <v>207</v>
      </c>
      <c r="J56" s="580"/>
      <c r="K56" s="581">
        <f>IF(I56="Green",1,IF(I56="Yellow",0.75,IF(I56="Orange",0.5,IF(I56="Brown",0.25,0))))</f>
        <v>1</v>
      </c>
      <c r="L56" s="581"/>
      <c r="M56" s="582"/>
      <c r="O56" s="28"/>
    </row>
    <row r="57" spans="1:15" s="29" customFormat="1" ht="15" customHeight="1" thickBot="1">
      <c r="A57" s="28"/>
      <c r="B57" s="480" t="s">
        <v>38</v>
      </c>
      <c r="C57" s="522"/>
      <c r="D57" s="636">
        <f>SUM(F52:H53,F55:H56)/4</f>
        <v>0.8125</v>
      </c>
      <c r="E57" s="637"/>
      <c r="F57" s="637"/>
      <c r="G57" s="637"/>
      <c r="H57" s="638"/>
      <c r="I57" s="636">
        <f>SUM(K52:M53,K55:M56)/4</f>
        <v>0.8125</v>
      </c>
      <c r="J57" s="637"/>
      <c r="K57" s="637"/>
      <c r="L57" s="637"/>
      <c r="M57" s="638"/>
      <c r="O57" s="28"/>
    </row>
    <row r="58" spans="1:15" ht="15" customHeight="1" thickBot="1">
      <c r="B58" s="93"/>
      <c r="E58" s="93"/>
      <c r="J58" s="93"/>
      <c r="O58" s="28"/>
    </row>
    <row r="59" spans="1:15" ht="15" customHeight="1" thickBot="1">
      <c r="B59" s="645" t="s">
        <v>689</v>
      </c>
      <c r="C59" s="646"/>
      <c r="D59" s="646"/>
      <c r="E59" s="646"/>
      <c r="F59" s="646"/>
      <c r="G59" s="646"/>
      <c r="H59" s="646"/>
      <c r="I59" s="646"/>
      <c r="J59" s="646"/>
      <c r="K59" s="646"/>
      <c r="L59" s="646"/>
      <c r="M59" s="647"/>
      <c r="O59" s="28"/>
    </row>
    <row r="60" spans="1:15" ht="15" customHeight="1" thickBot="1">
      <c r="B60" s="631"/>
      <c r="C60" s="632"/>
      <c r="D60" s="641" t="s">
        <v>690</v>
      </c>
      <c r="E60" s="642"/>
      <c r="F60" s="323" t="s">
        <v>691</v>
      </c>
      <c r="G60" s="323" t="s">
        <v>692</v>
      </c>
      <c r="H60" s="324" t="s">
        <v>10</v>
      </c>
      <c r="I60" s="323" t="s">
        <v>690</v>
      </c>
      <c r="J60" s="323" t="s">
        <v>693</v>
      </c>
      <c r="K60" s="323" t="s">
        <v>691</v>
      </c>
      <c r="L60" s="323" t="s">
        <v>692</v>
      </c>
      <c r="M60" s="324" t="s">
        <v>10</v>
      </c>
      <c r="O60" s="28"/>
    </row>
    <row r="61" spans="1:15" ht="15" hidden="1" customHeight="1">
      <c r="B61" s="318"/>
      <c r="C61" s="325"/>
      <c r="D61" s="643"/>
      <c r="E61" s="644"/>
      <c r="F61" s="354"/>
      <c r="G61" s="345"/>
      <c r="H61" s="326"/>
      <c r="I61" s="358"/>
      <c r="J61" s="349"/>
      <c r="K61" s="354"/>
      <c r="L61" s="352"/>
      <c r="M61" s="326"/>
      <c r="O61" s="28"/>
    </row>
    <row r="62" spans="1:15" ht="15" hidden="1" customHeight="1">
      <c r="B62" s="318"/>
      <c r="C62" s="325"/>
      <c r="D62" s="639"/>
      <c r="E62" s="640"/>
      <c r="F62" s="355"/>
      <c r="G62" s="346"/>
      <c r="H62" s="115"/>
      <c r="I62" s="359"/>
      <c r="J62" s="350"/>
      <c r="K62" s="355"/>
      <c r="L62" s="353"/>
      <c r="M62" s="115"/>
      <c r="O62" s="28"/>
    </row>
    <row r="63" spans="1:15" ht="15" hidden="1" customHeight="1">
      <c r="B63" s="318"/>
      <c r="C63" s="325"/>
      <c r="D63" s="639"/>
      <c r="E63" s="640"/>
      <c r="F63" s="355"/>
      <c r="G63" s="346"/>
      <c r="H63" s="115"/>
      <c r="I63" s="359"/>
      <c r="J63" s="350"/>
      <c r="K63" s="355"/>
      <c r="L63" s="353"/>
      <c r="M63" s="115"/>
      <c r="O63" s="28"/>
    </row>
    <row r="64" spans="1:15" ht="15" hidden="1" customHeight="1">
      <c r="B64" s="318"/>
      <c r="C64" s="325"/>
      <c r="D64" s="639"/>
      <c r="E64" s="640"/>
      <c r="F64" s="355"/>
      <c r="G64" s="346"/>
      <c r="H64" s="115"/>
      <c r="I64" s="359"/>
      <c r="J64" s="350"/>
      <c r="K64" s="355"/>
      <c r="L64" s="353"/>
      <c r="M64" s="115"/>
      <c r="O64" s="28"/>
    </row>
    <row r="65" spans="2:15" ht="15" hidden="1" customHeight="1">
      <c r="B65" s="318"/>
      <c r="C65" s="325"/>
      <c r="D65" s="639"/>
      <c r="E65" s="640"/>
      <c r="F65" s="355"/>
      <c r="G65" s="346"/>
      <c r="H65" s="115"/>
      <c r="I65" s="359"/>
      <c r="J65" s="350"/>
      <c r="K65" s="355"/>
      <c r="L65" s="353"/>
      <c r="M65" s="115"/>
      <c r="O65" s="28"/>
    </row>
    <row r="66" spans="2:15" ht="15" hidden="1" customHeight="1">
      <c r="B66" s="318"/>
      <c r="C66" s="325"/>
      <c r="D66" s="639"/>
      <c r="E66" s="640"/>
      <c r="F66" s="355"/>
      <c r="G66" s="346"/>
      <c r="H66" s="115"/>
      <c r="I66" s="359"/>
      <c r="J66" s="350"/>
      <c r="K66" s="355"/>
      <c r="L66" s="353"/>
      <c r="M66" s="115"/>
      <c r="O66" s="28"/>
    </row>
    <row r="67" spans="2:15" ht="15" hidden="1" customHeight="1">
      <c r="B67" s="318"/>
      <c r="C67" s="325"/>
      <c r="D67" s="639"/>
      <c r="E67" s="640"/>
      <c r="F67" s="355"/>
      <c r="G67" s="346"/>
      <c r="H67" s="115" t="str">
        <f>IF(G67="","",actual_AEB_score(D67,G67,F67))</f>
        <v/>
      </c>
      <c r="I67" s="359"/>
      <c r="J67" s="350"/>
      <c r="K67" s="355"/>
      <c r="L67" s="353"/>
      <c r="M67" s="115" t="str">
        <f>IF(L67="","",actual_AEB_score(I67,L67,K67))</f>
        <v/>
      </c>
      <c r="O67" s="28"/>
    </row>
    <row r="68" spans="2:15" ht="15" hidden="1" customHeight="1">
      <c r="B68" s="318"/>
      <c r="C68" s="325"/>
      <c r="D68" s="639"/>
      <c r="E68" s="640"/>
      <c r="F68" s="355"/>
      <c r="G68" s="346"/>
      <c r="H68" s="115" t="str">
        <f>IF(G68="","",actual_AEB_score(D68,G68,F68))</f>
        <v/>
      </c>
      <c r="I68" s="359"/>
      <c r="J68" s="350"/>
      <c r="K68" s="355"/>
      <c r="L68" s="353"/>
      <c r="M68" s="115" t="str">
        <f>IF(L68="","",actual_AEB_score(I68,L68,K68))</f>
        <v/>
      </c>
      <c r="O68" s="28"/>
    </row>
    <row r="69" spans="2:15" ht="15" hidden="1" customHeight="1">
      <c r="B69" s="318"/>
      <c r="C69" s="325"/>
      <c r="D69" s="639"/>
      <c r="E69" s="640"/>
      <c r="F69" s="355"/>
      <c r="G69" s="346"/>
      <c r="H69" s="115" t="str">
        <f>IF(G69="","",actual_AEB_score(D69,G69,F69))</f>
        <v/>
      </c>
      <c r="I69" s="359"/>
      <c r="J69" s="350"/>
      <c r="K69" s="355"/>
      <c r="L69" s="353"/>
      <c r="M69" s="115" t="str">
        <f>IF(L69="","",actual_AEB_score(I69,L69,K69))</f>
        <v/>
      </c>
      <c r="O69" s="28"/>
    </row>
    <row r="70" spans="2:15" ht="15" hidden="1" customHeight="1">
      <c r="B70" s="318"/>
      <c r="C70" s="325"/>
      <c r="D70" s="639"/>
      <c r="E70" s="640"/>
      <c r="F70" s="355"/>
      <c r="G70" s="346"/>
      <c r="H70" s="115" t="str">
        <f>IF(G70="","",actual_AEB_score(D70,G70,F70))</f>
        <v/>
      </c>
      <c r="I70" s="359"/>
      <c r="J70" s="350"/>
      <c r="K70" s="355"/>
      <c r="L70" s="353"/>
      <c r="M70" s="115" t="str">
        <f>IF(L70="","",actual_AEB_score(I70,L70,K70))</f>
        <v/>
      </c>
      <c r="O70" s="28"/>
    </row>
    <row r="71" spans="2:15" ht="15" hidden="1" customHeight="1">
      <c r="B71" s="318"/>
      <c r="C71" s="325"/>
      <c r="D71" s="550"/>
      <c r="E71" s="551"/>
      <c r="F71" s="356"/>
      <c r="G71" s="347"/>
      <c r="H71" s="115" t="str">
        <f>IF(G71="","",actual_AEB_score(D71,G71,F71))</f>
        <v/>
      </c>
      <c r="I71" s="359"/>
      <c r="J71" s="350"/>
      <c r="K71" s="356"/>
      <c r="L71" s="347"/>
      <c r="M71" s="115" t="str">
        <f>IF(L71="","",actual_AEB_score(I71,L71,K71))</f>
        <v/>
      </c>
      <c r="O71" s="28"/>
    </row>
    <row r="72" spans="2:15" ht="15" hidden="1" customHeight="1">
      <c r="B72" s="318"/>
      <c r="C72" s="325"/>
      <c r="D72" s="550"/>
      <c r="E72" s="551"/>
      <c r="F72" s="356"/>
      <c r="G72" s="347"/>
      <c r="H72" s="115" t="str">
        <f>IF(G72="","",actual_AEB_score(D72,G72,F72))</f>
        <v/>
      </c>
      <c r="I72" s="359"/>
      <c r="J72" s="350"/>
      <c r="K72" s="356"/>
      <c r="L72" s="347"/>
      <c r="M72" s="115" t="str">
        <f>IF(L72="","",actual_AEB_score(I72,L72,K72))</f>
        <v/>
      </c>
      <c r="O72" s="28"/>
    </row>
    <row r="73" spans="2:15" ht="15" hidden="1" customHeight="1">
      <c r="B73" s="318"/>
      <c r="C73" s="325"/>
      <c r="D73" s="550"/>
      <c r="E73" s="551"/>
      <c r="F73" s="356"/>
      <c r="G73" s="347"/>
      <c r="H73" s="115" t="str">
        <f>IF(G73="","",actual_AEB_score(D73,G73,F73))</f>
        <v/>
      </c>
      <c r="I73" s="359"/>
      <c r="J73" s="350"/>
      <c r="K73" s="356"/>
      <c r="L73" s="347"/>
      <c r="M73" s="115" t="str">
        <f>IF(L73="","",actual_AEB_score(I73,L73,K73))</f>
        <v/>
      </c>
      <c r="O73" s="28"/>
    </row>
    <row r="74" spans="2:15" ht="15" hidden="1" customHeight="1">
      <c r="B74" s="318"/>
      <c r="C74" s="325"/>
      <c r="D74" s="550"/>
      <c r="E74" s="551"/>
      <c r="F74" s="356"/>
      <c r="G74" s="347"/>
      <c r="H74" s="115" t="str">
        <f>IF(G74="","",actual_AEB_score(D74,G74,F74))</f>
        <v/>
      </c>
      <c r="I74" s="359"/>
      <c r="J74" s="350"/>
      <c r="K74" s="356"/>
      <c r="L74" s="347"/>
      <c r="M74" s="115" t="str">
        <f>IF(L74="","",actual_AEB_score(I74,L74,K74))</f>
        <v/>
      </c>
      <c r="O74" s="28"/>
    </row>
    <row r="75" spans="2:15" ht="15" hidden="1" customHeight="1">
      <c r="B75" s="318"/>
      <c r="C75" s="325"/>
      <c r="D75" s="550"/>
      <c r="E75" s="551"/>
      <c r="F75" s="356"/>
      <c r="G75" s="347"/>
      <c r="H75" s="115" t="str">
        <f>IF(G75="","",actual_AEB_score(D75,G75,F75))</f>
        <v/>
      </c>
      <c r="I75" s="359"/>
      <c r="J75" s="350"/>
      <c r="K75" s="356"/>
      <c r="L75" s="347"/>
      <c r="M75" s="115" t="str">
        <f>IF(L75="","",actual_AEB_score(I75,L75,K75))</f>
        <v/>
      </c>
      <c r="O75" s="28"/>
    </row>
    <row r="76" spans="2:15" ht="15" hidden="1" customHeight="1">
      <c r="B76" s="318"/>
      <c r="C76" s="325"/>
      <c r="D76" s="550"/>
      <c r="E76" s="551"/>
      <c r="F76" s="356"/>
      <c r="G76" s="347"/>
      <c r="H76" s="115" t="str">
        <f>IF(G76="","",actual_AEB_score(D76,G76,F76))</f>
        <v/>
      </c>
      <c r="I76" s="359"/>
      <c r="J76" s="350"/>
      <c r="K76" s="356"/>
      <c r="L76" s="347"/>
      <c r="M76" s="115" t="str">
        <f>IF(L76="","",actual_AEB_score(I76,L76,K76))</f>
        <v/>
      </c>
      <c r="O76" s="28"/>
    </row>
    <row r="77" spans="2:15" ht="15" hidden="1" customHeight="1">
      <c r="B77" s="318"/>
      <c r="C77" s="325"/>
      <c r="D77" s="550"/>
      <c r="E77" s="551"/>
      <c r="F77" s="356"/>
      <c r="G77" s="347"/>
      <c r="H77" s="115" t="str">
        <f>IF(G77="","",actual_AEB_score(D77,G77,F77))</f>
        <v/>
      </c>
      <c r="I77" s="359"/>
      <c r="J77" s="350"/>
      <c r="K77" s="356"/>
      <c r="L77" s="347"/>
      <c r="M77" s="115" t="str">
        <f>IF(L77="","",actual_AEB_score(I77,L77,K77))</f>
        <v/>
      </c>
      <c r="O77" s="28"/>
    </row>
    <row r="78" spans="2:15" ht="15" hidden="1" customHeight="1">
      <c r="B78" s="318"/>
      <c r="C78" s="325"/>
      <c r="D78" s="550"/>
      <c r="E78" s="551"/>
      <c r="F78" s="356"/>
      <c r="G78" s="347"/>
      <c r="H78" s="115" t="str">
        <f>IF(G78="","",actual_AEB_score(D78,G78,F78))</f>
        <v/>
      </c>
      <c r="I78" s="359"/>
      <c r="J78" s="350"/>
      <c r="K78" s="356"/>
      <c r="L78" s="347"/>
      <c r="M78" s="115" t="str">
        <f>IF(L78="","",actual_AEB_score(I78,L78,K78))</f>
        <v/>
      </c>
      <c r="O78" s="28"/>
    </row>
    <row r="79" spans="2:15" ht="15" hidden="1" customHeight="1">
      <c r="B79" s="318"/>
      <c r="C79" s="325"/>
      <c r="D79" s="550"/>
      <c r="E79" s="551"/>
      <c r="F79" s="356"/>
      <c r="G79" s="347"/>
      <c r="H79" s="115" t="str">
        <f>IF(G79="","",actual_AEB_score(D79,G79,F79))</f>
        <v/>
      </c>
      <c r="I79" s="359"/>
      <c r="J79" s="350"/>
      <c r="K79" s="356"/>
      <c r="L79" s="347"/>
      <c r="M79" s="115" t="str">
        <f>IF(L79="","",actual_AEB_score(I79,L79,K79))</f>
        <v/>
      </c>
      <c r="O79" s="28"/>
    </row>
    <row r="80" spans="2:15" ht="15" hidden="1" customHeight="1" thickBot="1">
      <c r="B80" s="321"/>
      <c r="C80" s="327"/>
      <c r="D80" s="566"/>
      <c r="E80" s="567"/>
      <c r="F80" s="357"/>
      <c r="G80" s="348"/>
      <c r="H80" s="328" t="str">
        <f>IF(G80="","",actual_AEB_score(D80,G80,F80))</f>
        <v/>
      </c>
      <c r="I80" s="360"/>
      <c r="J80" s="351"/>
      <c r="K80" s="357"/>
      <c r="L80" s="348"/>
      <c r="M80" s="328" t="str">
        <f>IF(L80="","",actual_AEB_score(I80,L80,K80))</f>
        <v/>
      </c>
      <c r="O80" s="28"/>
    </row>
    <row r="81" spans="1:16" ht="15" hidden="1" customHeight="1" thickBot="1">
      <c r="B81" s="568" t="s">
        <v>694</v>
      </c>
      <c r="C81" s="569"/>
      <c r="D81" s="570"/>
      <c r="E81" s="571"/>
      <c r="F81" s="329">
        <f>(COUNTIF(F61:F80,"Green")*1)+(COUNTIF(F61:F80,"Yellow")*0.75)+(COUNTIF(F61:F80,"Orange")*0.5)+(COUNTIF(F61:F80,"Brown")*0.25)</f>
        <v>0</v>
      </c>
      <c r="G81" s="329"/>
      <c r="H81" s="330">
        <f>SUM(H61:H80)</f>
        <v>0</v>
      </c>
      <c r="I81" s="570"/>
      <c r="J81" s="571"/>
      <c r="K81" s="329">
        <f>(COUNTIF(K61:K80,"Green")*1)+(COUNTIF(K61:K80,"Yellow")*0.75)+(COUNTIF(K61:K80,"Orange")*0.5)+(COUNTIF(K61:K80,"Brown")*0.25)</f>
        <v>0</v>
      </c>
      <c r="L81" s="329"/>
      <c r="M81" s="330">
        <f>SUM(M61:M80)</f>
        <v>0</v>
      </c>
      <c r="O81" s="28"/>
    </row>
    <row r="82" spans="1:16" ht="15" customHeight="1" thickBot="1">
      <c r="B82" s="21"/>
      <c r="M82" s="331"/>
      <c r="O82" s="28"/>
    </row>
    <row r="83" spans="1:16" ht="15" customHeight="1" thickBot="1">
      <c r="B83" s="572" t="s">
        <v>695</v>
      </c>
      <c r="C83" s="573"/>
      <c r="D83" s="648">
        <v>1</v>
      </c>
      <c r="E83" s="649"/>
      <c r="F83" s="649"/>
      <c r="G83" s="649"/>
      <c r="H83" s="650"/>
      <c r="I83" s="648">
        <v>1</v>
      </c>
      <c r="J83" s="649"/>
      <c r="K83" s="649"/>
      <c r="L83" s="649"/>
      <c r="M83" s="650"/>
      <c r="O83" s="28"/>
    </row>
    <row r="84" spans="1:16" ht="15" customHeight="1" thickBot="1">
      <c r="O84" s="28"/>
    </row>
    <row r="85" spans="1:16" ht="30" customHeight="1" thickBot="1">
      <c r="B85" s="618" t="s">
        <v>697</v>
      </c>
      <c r="C85" s="619"/>
      <c r="D85" s="619"/>
      <c r="E85" s="619"/>
      <c r="F85" s="619"/>
      <c r="G85" s="619"/>
      <c r="H85" s="619"/>
      <c r="I85" s="619"/>
      <c r="J85" s="619"/>
      <c r="K85" s="619"/>
      <c r="L85" s="619"/>
      <c r="M85" s="630"/>
      <c r="O85" s="28"/>
    </row>
    <row r="86" spans="1:16" ht="15" customHeight="1" thickBot="1">
      <c r="B86" s="631" t="s">
        <v>698</v>
      </c>
      <c r="C86" s="632"/>
      <c r="D86" s="633" t="s">
        <v>699</v>
      </c>
      <c r="E86" s="651"/>
      <c r="F86" s="634" t="s">
        <v>700</v>
      </c>
      <c r="G86" s="634"/>
      <c r="H86" s="635"/>
      <c r="I86" s="634"/>
      <c r="J86" s="634"/>
      <c r="K86" s="634"/>
      <c r="L86" s="634"/>
      <c r="M86" s="635"/>
      <c r="O86" s="28"/>
    </row>
    <row r="87" spans="1:16" ht="15" customHeight="1">
      <c r="B87" s="318"/>
      <c r="C87" s="319"/>
      <c r="D87" s="652"/>
      <c r="E87" s="653"/>
      <c r="F87" s="332" t="s">
        <v>701</v>
      </c>
      <c r="G87" s="332" t="s">
        <v>702</v>
      </c>
      <c r="H87" s="238" t="s">
        <v>703</v>
      </c>
      <c r="I87" s="575"/>
      <c r="J87" s="575"/>
      <c r="K87" s="575"/>
      <c r="L87" s="575"/>
      <c r="M87" s="578"/>
      <c r="O87" s="28"/>
    </row>
    <row r="88" spans="1:16" ht="15" customHeight="1">
      <c r="B88" s="318"/>
      <c r="C88" s="320"/>
      <c r="D88" s="333"/>
      <c r="E88" s="334" t="s">
        <v>704</v>
      </c>
      <c r="F88" s="240"/>
      <c r="G88" s="241"/>
      <c r="H88" s="242"/>
      <c r="I88" s="575"/>
      <c r="J88" s="575"/>
      <c r="K88" s="575"/>
      <c r="L88" s="575"/>
      <c r="M88" s="578"/>
      <c r="O88" s="28"/>
      <c r="P88" s="335"/>
    </row>
    <row r="89" spans="1:16" ht="15" customHeight="1">
      <c r="B89" s="318"/>
      <c r="C89" s="320"/>
      <c r="D89" s="333"/>
      <c r="E89" s="334" t="s">
        <v>705</v>
      </c>
      <c r="F89" s="240"/>
      <c r="G89" s="241"/>
      <c r="H89" s="242"/>
      <c r="I89" s="575"/>
      <c r="J89" s="575"/>
      <c r="K89" s="575"/>
      <c r="L89" s="575"/>
      <c r="M89" s="578"/>
      <c r="O89" s="28"/>
    </row>
    <row r="90" spans="1:16" ht="15" customHeight="1" thickBot="1">
      <c r="B90" s="318"/>
      <c r="C90" s="320"/>
      <c r="D90" s="336"/>
      <c r="E90" s="337" t="s">
        <v>706</v>
      </c>
      <c r="F90" s="243"/>
      <c r="G90" s="167"/>
      <c r="H90" s="168"/>
      <c r="I90" s="575"/>
      <c r="J90" s="575"/>
      <c r="K90" s="575"/>
      <c r="L90" s="575"/>
      <c r="M90" s="578"/>
      <c r="O90" s="28"/>
    </row>
    <row r="91" spans="1:16" s="29" customFormat="1" ht="15" customHeight="1" thickBot="1">
      <c r="A91" s="28"/>
      <c r="B91" s="480" t="s">
        <v>707</v>
      </c>
      <c r="C91" s="522"/>
      <c r="D91" s="654">
        <f>COUNTIF(F88:H90,"Green")/9</f>
        <v>0</v>
      </c>
      <c r="E91" s="655"/>
      <c r="F91" s="655"/>
      <c r="G91" s="655"/>
      <c r="H91" s="656"/>
      <c r="I91" s="636"/>
      <c r="J91" s="637"/>
      <c r="K91" s="637"/>
      <c r="L91" s="637"/>
      <c r="M91" s="638"/>
      <c r="O91" s="28"/>
    </row>
    <row r="92" spans="1:16" ht="15" customHeight="1" thickBot="1">
      <c r="B92" s="93"/>
      <c r="E92" s="93"/>
      <c r="J92" s="93"/>
      <c r="O92" s="28"/>
    </row>
    <row r="93" spans="1:16" s="29" customFormat="1" ht="15" customHeight="1">
      <c r="A93" s="28"/>
      <c r="B93" s="33" t="s">
        <v>24</v>
      </c>
      <c r="C93" s="34"/>
      <c r="D93" s="477"/>
      <c r="E93" s="478"/>
      <c r="F93" s="478"/>
      <c r="G93" s="478"/>
      <c r="H93" s="478"/>
      <c r="I93" s="478"/>
      <c r="J93" s="478"/>
      <c r="K93" s="478"/>
      <c r="L93" s="478"/>
      <c r="M93" s="479"/>
      <c r="O93" s="28"/>
    </row>
    <row r="94" spans="1:16" s="29" customFormat="1" ht="15" customHeight="1">
      <c r="A94" s="28"/>
      <c r="B94" s="31"/>
      <c r="C94" s="35" t="s">
        <v>26</v>
      </c>
      <c r="D94" s="486"/>
      <c r="E94" s="487"/>
      <c r="F94" s="487"/>
      <c r="G94" s="487"/>
      <c r="H94" s="487"/>
      <c r="I94" s="487"/>
      <c r="J94" s="487"/>
      <c r="K94" s="487"/>
      <c r="L94" s="487"/>
      <c r="M94" s="488"/>
      <c r="O94" s="28"/>
    </row>
    <row r="95" spans="1:16" s="29" customFormat="1" ht="15" customHeight="1">
      <c r="A95" s="28"/>
      <c r="B95" s="31"/>
      <c r="C95" s="32" t="s">
        <v>39</v>
      </c>
      <c r="D95" s="666" t="s">
        <v>205</v>
      </c>
      <c r="E95" s="667"/>
      <c r="F95" s="668">
        <f>IF(D95="Yes",1,0)</f>
        <v>0</v>
      </c>
      <c r="G95" s="668"/>
      <c r="H95" s="668"/>
      <c r="I95" s="668"/>
      <c r="J95" s="668"/>
      <c r="K95" s="668"/>
      <c r="L95" s="668"/>
      <c r="M95" s="669"/>
      <c r="O95" s="28"/>
    </row>
    <row r="96" spans="1:16" s="29" customFormat="1" ht="15" customHeight="1" thickBot="1">
      <c r="A96" s="28"/>
      <c r="B96" s="31"/>
      <c r="C96" s="32" t="s">
        <v>40</v>
      </c>
      <c r="D96" s="666" t="s">
        <v>205</v>
      </c>
      <c r="E96" s="667"/>
      <c r="F96" s="668">
        <f>IF(D96="Yes",1,0)</f>
        <v>0</v>
      </c>
      <c r="G96" s="668"/>
      <c r="H96" s="668"/>
      <c r="I96" s="668"/>
      <c r="J96" s="668"/>
      <c r="K96" s="668"/>
      <c r="L96" s="668"/>
      <c r="M96" s="669"/>
      <c r="O96" s="28"/>
    </row>
    <row r="97" spans="1:15" s="29" customFormat="1" ht="15" customHeight="1" thickBot="1">
      <c r="A97" s="28"/>
      <c r="B97" s="480" t="s">
        <v>27</v>
      </c>
      <c r="C97" s="481"/>
      <c r="D97" s="636">
        <f>SUM(F95:M96)/2</f>
        <v>0</v>
      </c>
      <c r="E97" s="637"/>
      <c r="F97" s="637"/>
      <c r="G97" s="637"/>
      <c r="H97" s="637"/>
      <c r="I97" s="637"/>
      <c r="J97" s="637"/>
      <c r="K97" s="637"/>
      <c r="L97" s="637"/>
      <c r="M97" s="638"/>
      <c r="O97" s="28"/>
    </row>
    <row r="98" spans="1:15" s="29" customFormat="1" ht="15" customHeight="1" thickBot="1">
      <c r="A98" s="28"/>
      <c r="B98" s="28"/>
      <c r="C98" s="30"/>
      <c r="D98" s="28"/>
      <c r="E98" s="28"/>
      <c r="F98" s="28"/>
      <c r="G98" s="338"/>
      <c r="O98" s="28"/>
    </row>
    <row r="99" spans="1:15" ht="15">
      <c r="B99" s="660" t="s">
        <v>9</v>
      </c>
      <c r="C99" s="661"/>
      <c r="D99" s="662"/>
      <c r="E99" s="663"/>
      <c r="F99" s="663"/>
      <c r="G99" s="663"/>
      <c r="H99" s="664"/>
      <c r="I99" s="663"/>
      <c r="J99" s="663"/>
      <c r="K99" s="663"/>
      <c r="L99" s="663"/>
      <c r="M99" s="665"/>
      <c r="N99" s="41"/>
      <c r="O99" s="28"/>
    </row>
    <row r="100" spans="1:15" ht="15" customHeight="1">
      <c r="B100" s="25"/>
      <c r="C100" s="339" t="s">
        <v>162</v>
      </c>
      <c r="D100" s="657">
        <f>IF(COUNTIF(D18:H20,"Green")=15,D33,0)</f>
        <v>0.95830000000000004</v>
      </c>
      <c r="E100" s="658"/>
      <c r="F100" s="658"/>
      <c r="G100" s="658"/>
      <c r="H100" s="659"/>
      <c r="I100" s="563">
        <f>MIN(I33,1)</f>
        <v>0.54169999999999996</v>
      </c>
      <c r="J100" s="563"/>
      <c r="K100" s="563"/>
      <c r="L100" s="563"/>
      <c r="M100" s="565"/>
      <c r="N100" s="41"/>
      <c r="O100" s="28"/>
    </row>
    <row r="101" spans="1:15" ht="15" customHeight="1">
      <c r="B101" s="25"/>
      <c r="C101" s="339" t="s">
        <v>157</v>
      </c>
      <c r="D101" s="562">
        <f>MIN(D47,1)</f>
        <v>0.57779999999999998</v>
      </c>
      <c r="E101" s="563"/>
      <c r="F101" s="563"/>
      <c r="G101" s="563"/>
      <c r="H101" s="564"/>
      <c r="I101" s="563">
        <f>MIN(I47,1)</f>
        <v>1</v>
      </c>
      <c r="J101" s="563"/>
      <c r="K101" s="563"/>
      <c r="L101" s="563"/>
      <c r="M101" s="565"/>
      <c r="N101" s="41"/>
      <c r="O101" s="28"/>
    </row>
    <row r="102" spans="1:15" ht="15" customHeight="1">
      <c r="B102" s="340"/>
      <c r="C102" s="339" t="s">
        <v>33</v>
      </c>
      <c r="D102" s="562">
        <f>D57</f>
        <v>0.8125</v>
      </c>
      <c r="E102" s="563"/>
      <c r="F102" s="563"/>
      <c r="G102" s="563"/>
      <c r="H102" s="564"/>
      <c r="I102" s="563">
        <f>I57</f>
        <v>0.8125</v>
      </c>
      <c r="J102" s="563"/>
      <c r="K102" s="563"/>
      <c r="L102" s="563"/>
      <c r="M102" s="565"/>
      <c r="N102" s="41"/>
      <c r="O102" s="28"/>
    </row>
    <row r="103" spans="1:15" ht="15" customHeight="1">
      <c r="B103" s="340"/>
      <c r="C103" s="339" t="s">
        <v>697</v>
      </c>
      <c r="D103" s="562">
        <f>D91</f>
        <v>0</v>
      </c>
      <c r="E103" s="563"/>
      <c r="F103" s="563"/>
      <c r="G103" s="563"/>
      <c r="H103" s="564"/>
      <c r="I103" s="563"/>
      <c r="J103" s="563"/>
      <c r="K103" s="563"/>
      <c r="L103" s="563"/>
      <c r="M103" s="565"/>
      <c r="N103" s="41"/>
      <c r="O103" s="28"/>
    </row>
    <row r="104" spans="1:15" ht="15" customHeight="1" thickBot="1">
      <c r="B104" s="302"/>
      <c r="C104" s="341" t="s">
        <v>24</v>
      </c>
      <c r="D104" s="557">
        <f>D97</f>
        <v>0</v>
      </c>
      <c r="E104" s="557"/>
      <c r="F104" s="557"/>
      <c r="G104" s="557"/>
      <c r="H104" s="557"/>
      <c r="I104" s="557"/>
      <c r="J104" s="557"/>
      <c r="K104" s="557"/>
      <c r="L104" s="557"/>
      <c r="M104" s="558"/>
      <c r="N104" s="41"/>
      <c r="O104" s="28"/>
    </row>
    <row r="105" spans="1:15" ht="15" customHeight="1" thickBot="1">
      <c r="N105" s="41"/>
      <c r="O105" s="28"/>
    </row>
    <row r="106" spans="1:15" s="28" customFormat="1" ht="15" customHeight="1" thickBot="1">
      <c r="B106" s="480" t="s">
        <v>12</v>
      </c>
      <c r="C106" s="481"/>
      <c r="D106" s="512"/>
      <c r="E106" s="514"/>
      <c r="F106" s="514"/>
      <c r="G106" s="514"/>
      <c r="H106" s="514"/>
      <c r="I106" s="514"/>
      <c r="J106" s="514"/>
      <c r="K106" s="514"/>
      <c r="L106" s="514"/>
      <c r="M106" s="515"/>
    </row>
    <row r="107" spans="1:15" s="29" customFormat="1" ht="15" customHeight="1">
      <c r="A107" s="28"/>
      <c r="B107" s="36"/>
      <c r="C107" s="37" t="s">
        <v>22</v>
      </c>
      <c r="D107" s="559">
        <f>ROUND(AVERAGE(D100:H102)*2,Round)</f>
        <v>1.5660000000000001</v>
      </c>
      <c r="E107" s="560"/>
      <c r="F107" s="560"/>
      <c r="G107" s="560"/>
      <c r="H107" s="560"/>
      <c r="I107" s="560"/>
      <c r="J107" s="560"/>
      <c r="K107" s="560"/>
      <c r="L107" s="560"/>
      <c r="M107" s="561"/>
      <c r="O107" s="28"/>
    </row>
    <row r="108" spans="1:15" s="28" customFormat="1" ht="15" customHeight="1">
      <c r="B108" s="36"/>
      <c r="C108" s="342" t="s">
        <v>28</v>
      </c>
      <c r="D108" s="559">
        <f>ROUND(AVERAGE(I100:M102)*1.5,Round)</f>
        <v>1.177</v>
      </c>
      <c r="E108" s="560"/>
      <c r="F108" s="560"/>
      <c r="G108" s="560"/>
      <c r="H108" s="560"/>
      <c r="I108" s="560"/>
      <c r="J108" s="560"/>
      <c r="K108" s="560"/>
      <c r="L108" s="560"/>
      <c r="M108" s="561"/>
    </row>
    <row r="109" spans="1:15" s="28" customFormat="1" ht="15" customHeight="1">
      <c r="B109" s="36"/>
      <c r="C109" s="342" t="s">
        <v>697</v>
      </c>
      <c r="D109" s="559">
        <f>ROUND(D103*2,Round)</f>
        <v>0</v>
      </c>
      <c r="E109" s="560"/>
      <c r="F109" s="560"/>
      <c r="G109" s="560"/>
      <c r="H109" s="560"/>
      <c r="I109" s="560"/>
      <c r="J109" s="560"/>
      <c r="K109" s="560"/>
      <c r="L109" s="560"/>
      <c r="M109" s="561"/>
    </row>
    <row r="110" spans="1:15" s="28" customFormat="1" ht="15" customHeight="1" thickBot="1">
      <c r="B110" s="38"/>
      <c r="C110" s="343" t="s">
        <v>24</v>
      </c>
      <c r="D110" s="530">
        <f>D104*0.5</f>
        <v>0</v>
      </c>
      <c r="E110" s="531"/>
      <c r="F110" s="531"/>
      <c r="G110" s="531"/>
      <c r="H110" s="531"/>
      <c r="I110" s="531"/>
      <c r="J110" s="531"/>
      <c r="K110" s="531"/>
      <c r="L110" s="531"/>
      <c r="M110" s="532"/>
    </row>
    <row r="111" spans="1:15" ht="15" customHeight="1" thickBot="1"/>
    <row r="112" spans="1:15" ht="21.75" thickBot="1">
      <c r="B112" s="552" t="s">
        <v>165</v>
      </c>
      <c r="C112" s="553"/>
      <c r="D112" s="554">
        <f>IF(D15="PASS",SUM(D107:M110),0)</f>
        <v>2.7430000000000003</v>
      </c>
      <c r="E112" s="555"/>
      <c r="F112" s="555"/>
      <c r="G112" s="555"/>
      <c r="H112" s="555"/>
      <c r="I112" s="555"/>
      <c r="J112" s="555"/>
      <c r="K112" s="555"/>
      <c r="L112" s="555"/>
      <c r="M112" s="556"/>
      <c r="N112" s="344"/>
      <c r="O112" s="24"/>
    </row>
  </sheetData>
  <dataConsolidate/>
  <mergeCells count="153">
    <mergeCell ref="I88:M88"/>
    <mergeCell ref="I89:M89"/>
    <mergeCell ref="I90:M90"/>
    <mergeCell ref="B91:C91"/>
    <mergeCell ref="D91:H91"/>
    <mergeCell ref="I91:M91"/>
    <mergeCell ref="D103:H103"/>
    <mergeCell ref="I103:M103"/>
    <mergeCell ref="D109:M109"/>
    <mergeCell ref="D100:H100"/>
    <mergeCell ref="I100:M100"/>
    <mergeCell ref="B97:C97"/>
    <mergeCell ref="D97:M97"/>
    <mergeCell ref="B99:C99"/>
    <mergeCell ref="D99:H99"/>
    <mergeCell ref="I99:M99"/>
    <mergeCell ref="D93:M93"/>
    <mergeCell ref="D94:M94"/>
    <mergeCell ref="D95:E95"/>
    <mergeCell ref="F95:M95"/>
    <mergeCell ref="D96:E96"/>
    <mergeCell ref="F96:M96"/>
    <mergeCell ref="D83:H83"/>
    <mergeCell ref="I83:M83"/>
    <mergeCell ref="B85:M85"/>
    <mergeCell ref="B86:C86"/>
    <mergeCell ref="D86:E86"/>
    <mergeCell ref="F86:H86"/>
    <mergeCell ref="I86:M86"/>
    <mergeCell ref="D87:E87"/>
    <mergeCell ref="I87:M87"/>
    <mergeCell ref="B57:C57"/>
    <mergeCell ref="D57:H57"/>
    <mergeCell ref="D66:E66"/>
    <mergeCell ref="D67:E67"/>
    <mergeCell ref="D68:E68"/>
    <mergeCell ref="D69:E69"/>
    <mergeCell ref="D70:E70"/>
    <mergeCell ref="D71:E71"/>
    <mergeCell ref="D72:E72"/>
    <mergeCell ref="D60:E60"/>
    <mergeCell ref="D61:E61"/>
    <mergeCell ref="D62:E62"/>
    <mergeCell ref="D63:E63"/>
    <mergeCell ref="D64:E64"/>
    <mergeCell ref="D65:E65"/>
    <mergeCell ref="B59:M59"/>
    <mergeCell ref="B60:C60"/>
    <mergeCell ref="I57:M57"/>
    <mergeCell ref="B17:C17"/>
    <mergeCell ref="B18:B32"/>
    <mergeCell ref="I18:M18"/>
    <mergeCell ref="B47:C47"/>
    <mergeCell ref="D47:H47"/>
    <mergeCell ref="I47:M47"/>
    <mergeCell ref="B49:M49"/>
    <mergeCell ref="B50:C50"/>
    <mergeCell ref="D50:E50"/>
    <mergeCell ref="F50:H50"/>
    <mergeCell ref="I50:J50"/>
    <mergeCell ref="K50:M50"/>
    <mergeCell ref="B33:C33"/>
    <mergeCell ref="D33:H33"/>
    <mergeCell ref="I33:M33"/>
    <mergeCell ref="B35:C35"/>
    <mergeCell ref="B36:B46"/>
    <mergeCell ref="I36:M36"/>
    <mergeCell ref="I37:M37"/>
    <mergeCell ref="I38:M38"/>
    <mergeCell ref="I39:M39"/>
    <mergeCell ref="D13:H13"/>
    <mergeCell ref="I13:M13"/>
    <mergeCell ref="D27:H27"/>
    <mergeCell ref="D28:H28"/>
    <mergeCell ref="D29:H29"/>
    <mergeCell ref="D30:H30"/>
    <mergeCell ref="D31:H31"/>
    <mergeCell ref="D32:H32"/>
    <mergeCell ref="D14:H14"/>
    <mergeCell ref="I14:M14"/>
    <mergeCell ref="I19:M19"/>
    <mergeCell ref="I20:M20"/>
    <mergeCell ref="I21:M21"/>
    <mergeCell ref="B4:C4"/>
    <mergeCell ref="D4:H4"/>
    <mergeCell ref="I4:M4"/>
    <mergeCell ref="D5:H5"/>
    <mergeCell ref="I5:M5"/>
    <mergeCell ref="D6:H6"/>
    <mergeCell ref="I6:M6"/>
    <mergeCell ref="B2:C3"/>
    <mergeCell ref="B15:C15"/>
    <mergeCell ref="D15:M15"/>
    <mergeCell ref="D2:H2"/>
    <mergeCell ref="I2:M2"/>
    <mergeCell ref="D3:H3"/>
    <mergeCell ref="I3:M3"/>
    <mergeCell ref="D11:H11"/>
    <mergeCell ref="I11:M11"/>
    <mergeCell ref="D12:H12"/>
    <mergeCell ref="I12:M12"/>
    <mergeCell ref="D7:H7"/>
    <mergeCell ref="I7:M7"/>
    <mergeCell ref="D8:H8"/>
    <mergeCell ref="I8:M8"/>
    <mergeCell ref="D9:H9"/>
    <mergeCell ref="I9:M9"/>
    <mergeCell ref="D55:E55"/>
    <mergeCell ref="F55:H55"/>
    <mergeCell ref="I55:J55"/>
    <mergeCell ref="K55:M55"/>
    <mergeCell ref="D56:E56"/>
    <mergeCell ref="F56:H56"/>
    <mergeCell ref="I56:J56"/>
    <mergeCell ref="K56:M56"/>
    <mergeCell ref="D53:E53"/>
    <mergeCell ref="F53:H53"/>
    <mergeCell ref="I53:J53"/>
    <mergeCell ref="K53:M53"/>
    <mergeCell ref="D51:E51"/>
    <mergeCell ref="F51:H51"/>
    <mergeCell ref="I51:J51"/>
    <mergeCell ref="D54:H54"/>
    <mergeCell ref="I54:M54"/>
    <mergeCell ref="K51:M51"/>
    <mergeCell ref="D52:E52"/>
    <mergeCell ref="F52:H52"/>
    <mergeCell ref="I52:J52"/>
    <mergeCell ref="K52:M52"/>
    <mergeCell ref="D73:E73"/>
    <mergeCell ref="D74:E74"/>
    <mergeCell ref="D75:E75"/>
    <mergeCell ref="D76:E76"/>
    <mergeCell ref="D110:M110"/>
    <mergeCell ref="B112:C112"/>
    <mergeCell ref="D112:M112"/>
    <mergeCell ref="D104:M104"/>
    <mergeCell ref="B106:C106"/>
    <mergeCell ref="D106:M106"/>
    <mergeCell ref="D107:M107"/>
    <mergeCell ref="D108:M108"/>
    <mergeCell ref="D101:H101"/>
    <mergeCell ref="I101:M101"/>
    <mergeCell ref="D102:H102"/>
    <mergeCell ref="I102:M102"/>
    <mergeCell ref="D77:E77"/>
    <mergeCell ref="D78:E78"/>
    <mergeCell ref="D79:E79"/>
    <mergeCell ref="D80:E80"/>
    <mergeCell ref="B81:C81"/>
    <mergeCell ref="D81:E81"/>
    <mergeCell ref="I81:J81"/>
    <mergeCell ref="B83:C83"/>
  </mergeCells>
  <conditionalFormatting sqref="F51">
    <cfRule type="cellIs" dxfId="761" priority="3144" operator="equal">
      <formula>"Green"</formula>
    </cfRule>
    <cfRule type="cellIs" dxfId="760" priority="3145" operator="equal">
      <formula>"Yellow"</formula>
    </cfRule>
    <cfRule type="cellIs" dxfId="759" priority="3146" operator="equal">
      <formula>"Orange"</formula>
    </cfRule>
    <cfRule type="cellIs" dxfId="758" priority="3147" operator="equal">
      <formula>"Brown"</formula>
    </cfRule>
    <cfRule type="cellIs" dxfId="757" priority="3148" operator="equal">
      <formula>"Red"</formula>
    </cfRule>
  </conditionalFormatting>
  <conditionalFormatting sqref="D51">
    <cfRule type="cellIs" dxfId="756" priority="3139" operator="equal">
      <formula>"Green"</formula>
    </cfRule>
    <cfRule type="cellIs" dxfId="755" priority="3140" operator="equal">
      <formula>"Yellow"</formula>
    </cfRule>
    <cfRule type="cellIs" dxfId="754" priority="3141" operator="equal">
      <formula>"Orange"</formula>
    </cfRule>
    <cfRule type="cellIs" dxfId="753" priority="3142" operator="equal">
      <formula>"Brown"</formula>
    </cfRule>
    <cfRule type="cellIs" dxfId="752" priority="3143" operator="equal">
      <formula>"Red"</formula>
    </cfRule>
  </conditionalFormatting>
  <conditionalFormatting sqref="K51">
    <cfRule type="cellIs" dxfId="751" priority="3114" operator="equal">
      <formula>"Green"</formula>
    </cfRule>
    <cfRule type="cellIs" dxfId="750" priority="3115" operator="equal">
      <formula>"Yellow"</formula>
    </cfRule>
    <cfRule type="cellIs" dxfId="749" priority="3116" operator="equal">
      <formula>"Orange"</formula>
    </cfRule>
    <cfRule type="cellIs" dxfId="748" priority="3117" operator="equal">
      <formula>"Brown"</formula>
    </cfRule>
    <cfRule type="cellIs" dxfId="747" priority="3118" operator="equal">
      <formula>"Red"</formula>
    </cfRule>
  </conditionalFormatting>
  <conditionalFormatting sqref="I51">
    <cfRule type="cellIs" dxfId="746" priority="3109" operator="equal">
      <formula>"Green"</formula>
    </cfRule>
    <cfRule type="cellIs" dxfId="745" priority="3110" operator="equal">
      <formula>"Yellow"</formula>
    </cfRule>
    <cfRule type="cellIs" dxfId="744" priority="3111" operator="equal">
      <formula>"Orange"</formula>
    </cfRule>
    <cfRule type="cellIs" dxfId="743" priority="3112" operator="equal">
      <formula>"Brown"</formula>
    </cfRule>
    <cfRule type="cellIs" dxfId="742" priority="3113" operator="equal">
      <formula>"Red"</formula>
    </cfRule>
  </conditionalFormatting>
  <conditionalFormatting sqref="F52">
    <cfRule type="cellIs" dxfId="741" priority="1965" operator="equal">
      <formula>"Green"</formula>
    </cfRule>
    <cfRule type="cellIs" dxfId="740" priority="1966" operator="equal">
      <formula>"Yellow"</formula>
    </cfRule>
    <cfRule type="cellIs" dxfId="739" priority="1967" operator="equal">
      <formula>"Orange"</formula>
    </cfRule>
    <cfRule type="cellIs" dxfId="738" priority="1968" operator="equal">
      <formula>"Brown"</formula>
    </cfRule>
    <cfRule type="cellIs" dxfId="737" priority="1969" operator="equal">
      <formula>"Red"</formula>
    </cfRule>
  </conditionalFormatting>
  <conditionalFormatting sqref="F55">
    <cfRule type="cellIs" dxfId="736" priority="1960" operator="equal">
      <formula>"Green"</formula>
    </cfRule>
    <cfRule type="cellIs" dxfId="735" priority="1961" operator="equal">
      <formula>"Yellow"</formula>
    </cfRule>
    <cfRule type="cellIs" dxfId="734" priority="1962" operator="equal">
      <formula>"Orange"</formula>
    </cfRule>
    <cfRule type="cellIs" dxfId="733" priority="1963" operator="equal">
      <formula>"Brown"</formula>
    </cfRule>
    <cfRule type="cellIs" dxfId="732" priority="1964" operator="equal">
      <formula>"Red"</formula>
    </cfRule>
  </conditionalFormatting>
  <conditionalFormatting sqref="F56">
    <cfRule type="cellIs" dxfId="731" priority="1955" operator="equal">
      <formula>"Green"</formula>
    </cfRule>
    <cfRule type="cellIs" dxfId="730" priority="1956" operator="equal">
      <formula>"Yellow"</formula>
    </cfRule>
    <cfRule type="cellIs" dxfId="729" priority="1957" operator="equal">
      <formula>"Orange"</formula>
    </cfRule>
    <cfRule type="cellIs" dxfId="728" priority="1958" operator="equal">
      <formula>"Brown"</formula>
    </cfRule>
    <cfRule type="cellIs" dxfId="727" priority="1959" operator="equal">
      <formula>"Red"</formula>
    </cfRule>
  </conditionalFormatting>
  <conditionalFormatting sqref="D54">
    <cfRule type="cellIs" dxfId="726" priority="1950" operator="equal">
      <formula>"Green"</formula>
    </cfRule>
    <cfRule type="cellIs" dxfId="725" priority="1951" operator="equal">
      <formula>"Yellow"</formula>
    </cfRule>
    <cfRule type="cellIs" dxfId="724" priority="1952" operator="equal">
      <formula>"Orange"</formula>
    </cfRule>
    <cfRule type="cellIs" dxfId="723" priority="1953" operator="equal">
      <formula>"Brown"</formula>
    </cfRule>
    <cfRule type="cellIs" dxfId="722" priority="1954" operator="equal">
      <formula>"Red"</formula>
    </cfRule>
  </conditionalFormatting>
  <conditionalFormatting sqref="K53">
    <cfRule type="cellIs" dxfId="721" priority="1930" operator="equal">
      <formula>"Green"</formula>
    </cfRule>
    <cfRule type="cellIs" dxfId="720" priority="1931" operator="equal">
      <formula>"Yellow"</formula>
    </cfRule>
    <cfRule type="cellIs" dxfId="719" priority="1932" operator="equal">
      <formula>"Orange"</formula>
    </cfRule>
    <cfRule type="cellIs" dxfId="718" priority="1933" operator="equal">
      <formula>"Brown"</formula>
    </cfRule>
    <cfRule type="cellIs" dxfId="717" priority="1934" operator="equal">
      <formula>"Red"</formula>
    </cfRule>
  </conditionalFormatting>
  <conditionalFormatting sqref="I54">
    <cfRule type="cellIs" dxfId="716" priority="1925" operator="equal">
      <formula>"Green"</formula>
    </cfRule>
    <cfRule type="cellIs" dxfId="715" priority="1926" operator="equal">
      <formula>"Yellow"</formula>
    </cfRule>
    <cfRule type="cellIs" dxfId="714" priority="1927" operator="equal">
      <formula>"Orange"</formula>
    </cfRule>
    <cfRule type="cellIs" dxfId="713" priority="1928" operator="equal">
      <formula>"Brown"</formula>
    </cfRule>
    <cfRule type="cellIs" dxfId="712" priority="1929" operator="equal">
      <formula>"Red"</formula>
    </cfRule>
  </conditionalFormatting>
  <conditionalFormatting sqref="K52">
    <cfRule type="cellIs" dxfId="711" priority="1945" operator="equal">
      <formula>"Green"</formula>
    </cfRule>
    <cfRule type="cellIs" dxfId="710" priority="1946" operator="equal">
      <formula>"Yellow"</formula>
    </cfRule>
    <cfRule type="cellIs" dxfId="709" priority="1947" operator="equal">
      <formula>"Orange"</formula>
    </cfRule>
    <cfRule type="cellIs" dxfId="708" priority="1948" operator="equal">
      <formula>"Brown"</formula>
    </cfRule>
    <cfRule type="cellIs" dxfId="707" priority="1949" operator="equal">
      <formula>"Red"</formula>
    </cfRule>
  </conditionalFormatting>
  <conditionalFormatting sqref="K55">
    <cfRule type="cellIs" dxfId="706" priority="1940" operator="equal">
      <formula>"Green"</formula>
    </cfRule>
    <cfRule type="cellIs" dxfId="705" priority="1941" operator="equal">
      <formula>"Yellow"</formula>
    </cfRule>
    <cfRule type="cellIs" dxfId="704" priority="1942" operator="equal">
      <formula>"Orange"</formula>
    </cfRule>
    <cfRule type="cellIs" dxfId="703" priority="1943" operator="equal">
      <formula>"Brown"</formula>
    </cfRule>
    <cfRule type="cellIs" dxfId="702" priority="1944" operator="equal">
      <formula>"Red"</formula>
    </cfRule>
  </conditionalFormatting>
  <conditionalFormatting sqref="K56">
    <cfRule type="cellIs" dxfId="701" priority="1935" operator="equal">
      <formula>"Green"</formula>
    </cfRule>
    <cfRule type="cellIs" dxfId="700" priority="1936" operator="equal">
      <formula>"Yellow"</formula>
    </cfRule>
    <cfRule type="cellIs" dxfId="699" priority="1937" operator="equal">
      <formula>"Orange"</formula>
    </cfRule>
    <cfRule type="cellIs" dxfId="698" priority="1938" operator="equal">
      <formula>"Brown"</formula>
    </cfRule>
    <cfRule type="cellIs" dxfId="697" priority="1939" operator="equal">
      <formula>"Red"</formula>
    </cfRule>
  </conditionalFormatting>
  <conditionalFormatting sqref="D52:E53">
    <cfRule type="cellIs" dxfId="696" priority="1919" operator="equal">
      <formula>"AEB"</formula>
    </cfRule>
    <cfRule type="cellIs" dxfId="695" priority="1920" operator="equal">
      <formula>"Green"</formula>
    </cfRule>
    <cfRule type="cellIs" dxfId="694" priority="1921" operator="equal">
      <formula>"Yellow"</formula>
    </cfRule>
    <cfRule type="cellIs" dxfId="693" priority="1922" operator="equal">
      <formula>"Orange"</formula>
    </cfRule>
    <cfRule type="cellIs" dxfId="692" priority="1923" operator="equal">
      <formula>"Brown"</formula>
    </cfRule>
    <cfRule type="cellIs" dxfId="691" priority="1924" operator="equal">
      <formula>"Red"</formula>
    </cfRule>
  </conditionalFormatting>
  <conditionalFormatting sqref="F53">
    <cfRule type="cellIs" dxfId="690" priority="1896" operator="equal">
      <formula>"Green"</formula>
    </cfRule>
    <cfRule type="cellIs" dxfId="689" priority="1897" operator="equal">
      <formula>"Yellow"</formula>
    </cfRule>
    <cfRule type="cellIs" dxfId="688" priority="1898" operator="equal">
      <formula>"Orange"</formula>
    </cfRule>
    <cfRule type="cellIs" dxfId="687" priority="1899" operator="equal">
      <formula>"Brown"</formula>
    </cfRule>
    <cfRule type="cellIs" dxfId="686" priority="1900" operator="equal">
      <formula>"Red"</formula>
    </cfRule>
  </conditionalFormatting>
  <conditionalFormatting sqref="D18:H26">
    <cfRule type="cellIs" dxfId="685" priority="1872" operator="equal">
      <formula>"Green"</formula>
    </cfRule>
    <cfRule type="cellIs" dxfId="684" priority="1873" operator="equal">
      <formula>"Yellow"</formula>
    </cfRule>
    <cfRule type="cellIs" dxfId="683" priority="1874" operator="equal">
      <formula>"Orange"</formula>
    </cfRule>
    <cfRule type="cellIs" dxfId="682" priority="1875" operator="equal">
      <formula>"Brown"</formula>
    </cfRule>
    <cfRule type="cellIs" dxfId="681" priority="1876" operator="equal">
      <formula>"Red"</formula>
    </cfRule>
    <cfRule type="cellIs" dxfId="680" priority="1877" operator="equal">
      <formula>"D Red"</formula>
    </cfRule>
  </conditionalFormatting>
  <conditionalFormatting sqref="H61">
    <cfRule type="cellIs" dxfId="679" priority="931" operator="equal">
      <formula>"Green"</formula>
    </cfRule>
    <cfRule type="cellIs" dxfId="678" priority="932" operator="equal">
      <formula>"Yellow"</formula>
    </cfRule>
    <cfRule type="cellIs" dxfId="677" priority="933" operator="equal">
      <formula>"Orange"</formula>
    </cfRule>
    <cfRule type="cellIs" dxfId="676" priority="934" operator="equal">
      <formula>"Brown"</formula>
    </cfRule>
    <cfRule type="cellIs" dxfId="675" priority="935" operator="equal">
      <formula>"Red"</formula>
    </cfRule>
  </conditionalFormatting>
  <conditionalFormatting sqref="H62">
    <cfRule type="cellIs" dxfId="674" priority="926" operator="equal">
      <formula>"Green"</formula>
    </cfRule>
    <cfRule type="cellIs" dxfId="673" priority="927" operator="equal">
      <formula>"Yellow"</formula>
    </cfRule>
    <cfRule type="cellIs" dxfId="672" priority="928" operator="equal">
      <formula>"Orange"</formula>
    </cfRule>
    <cfRule type="cellIs" dxfId="671" priority="929" operator="equal">
      <formula>"Brown"</formula>
    </cfRule>
    <cfRule type="cellIs" dxfId="670" priority="930" operator="equal">
      <formula>"Red"</formula>
    </cfRule>
  </conditionalFormatting>
  <conditionalFormatting sqref="H63">
    <cfRule type="cellIs" dxfId="669" priority="921" operator="equal">
      <formula>"Green"</formula>
    </cfRule>
    <cfRule type="cellIs" dxfId="668" priority="922" operator="equal">
      <formula>"Yellow"</formula>
    </cfRule>
    <cfRule type="cellIs" dxfId="667" priority="923" operator="equal">
      <formula>"Orange"</formula>
    </cfRule>
    <cfRule type="cellIs" dxfId="666" priority="924" operator="equal">
      <formula>"Brown"</formula>
    </cfRule>
    <cfRule type="cellIs" dxfId="665" priority="925" operator="equal">
      <formula>"Red"</formula>
    </cfRule>
  </conditionalFormatting>
  <conditionalFormatting sqref="H65">
    <cfRule type="cellIs" dxfId="664" priority="916" operator="equal">
      <formula>"Green"</formula>
    </cfRule>
    <cfRule type="cellIs" dxfId="663" priority="917" operator="equal">
      <formula>"Yellow"</formula>
    </cfRule>
    <cfRule type="cellIs" dxfId="662" priority="918" operator="equal">
      <formula>"Orange"</formula>
    </cfRule>
    <cfRule type="cellIs" dxfId="661" priority="919" operator="equal">
      <formula>"Brown"</formula>
    </cfRule>
    <cfRule type="cellIs" dxfId="660" priority="920" operator="equal">
      <formula>"Red"</formula>
    </cfRule>
  </conditionalFormatting>
  <conditionalFormatting sqref="H67">
    <cfRule type="cellIs" dxfId="659" priority="911" operator="equal">
      <formula>"Green"</formula>
    </cfRule>
    <cfRule type="cellIs" dxfId="658" priority="912" operator="equal">
      <formula>"Yellow"</formula>
    </cfRule>
    <cfRule type="cellIs" dxfId="657" priority="913" operator="equal">
      <formula>"Orange"</formula>
    </cfRule>
    <cfRule type="cellIs" dxfId="656" priority="914" operator="equal">
      <formula>"Brown"</formula>
    </cfRule>
    <cfRule type="cellIs" dxfId="655" priority="915" operator="equal">
      <formula>"Red"</formula>
    </cfRule>
  </conditionalFormatting>
  <conditionalFormatting sqref="H64">
    <cfRule type="cellIs" dxfId="654" priority="906" operator="equal">
      <formula>"Green"</formula>
    </cfRule>
    <cfRule type="cellIs" dxfId="653" priority="907" operator="equal">
      <formula>"Yellow"</formula>
    </cfRule>
    <cfRule type="cellIs" dxfId="652" priority="908" operator="equal">
      <formula>"Orange"</formula>
    </cfRule>
    <cfRule type="cellIs" dxfId="651" priority="909" operator="equal">
      <formula>"Brown"</formula>
    </cfRule>
    <cfRule type="cellIs" dxfId="650" priority="910" operator="equal">
      <formula>"Red"</formula>
    </cfRule>
  </conditionalFormatting>
  <conditionalFormatting sqref="H66">
    <cfRule type="cellIs" dxfId="649" priority="901" operator="equal">
      <formula>"Green"</formula>
    </cfRule>
    <cfRule type="cellIs" dxfId="648" priority="902" operator="equal">
      <formula>"Yellow"</formula>
    </cfRule>
    <cfRule type="cellIs" dxfId="647" priority="903" operator="equal">
      <formula>"Orange"</formula>
    </cfRule>
    <cfRule type="cellIs" dxfId="646" priority="904" operator="equal">
      <formula>"Brown"</formula>
    </cfRule>
    <cfRule type="cellIs" dxfId="645" priority="905" operator="equal">
      <formula>"Red"</formula>
    </cfRule>
  </conditionalFormatting>
  <conditionalFormatting sqref="H68">
    <cfRule type="cellIs" dxfId="644" priority="896" operator="equal">
      <formula>"Green"</formula>
    </cfRule>
    <cfRule type="cellIs" dxfId="643" priority="897" operator="equal">
      <formula>"Yellow"</formula>
    </cfRule>
    <cfRule type="cellIs" dxfId="642" priority="898" operator="equal">
      <formula>"Orange"</formula>
    </cfRule>
    <cfRule type="cellIs" dxfId="641" priority="899" operator="equal">
      <formula>"Brown"</formula>
    </cfRule>
    <cfRule type="cellIs" dxfId="640" priority="900" operator="equal">
      <formula>"Red"</formula>
    </cfRule>
  </conditionalFormatting>
  <conditionalFormatting sqref="H70">
    <cfRule type="cellIs" dxfId="639" priority="891" operator="equal">
      <formula>"Green"</formula>
    </cfRule>
    <cfRule type="cellIs" dxfId="638" priority="892" operator="equal">
      <formula>"Yellow"</formula>
    </cfRule>
    <cfRule type="cellIs" dxfId="637" priority="893" operator="equal">
      <formula>"Orange"</formula>
    </cfRule>
    <cfRule type="cellIs" dxfId="636" priority="894" operator="equal">
      <formula>"Brown"</formula>
    </cfRule>
    <cfRule type="cellIs" dxfId="635" priority="895" operator="equal">
      <formula>"Red"</formula>
    </cfRule>
  </conditionalFormatting>
  <conditionalFormatting sqref="H69">
    <cfRule type="cellIs" dxfId="634" priority="886" operator="equal">
      <formula>"Green"</formula>
    </cfRule>
    <cfRule type="cellIs" dxfId="633" priority="887" operator="equal">
      <formula>"Yellow"</formula>
    </cfRule>
    <cfRule type="cellIs" dxfId="632" priority="888" operator="equal">
      <formula>"Orange"</formula>
    </cfRule>
    <cfRule type="cellIs" dxfId="631" priority="889" operator="equal">
      <formula>"Brown"</formula>
    </cfRule>
    <cfRule type="cellIs" dxfId="630" priority="890" operator="equal">
      <formula>"Red"</formula>
    </cfRule>
  </conditionalFormatting>
  <conditionalFormatting sqref="H71">
    <cfRule type="cellIs" dxfId="629" priority="881" operator="equal">
      <formula>"Green"</formula>
    </cfRule>
    <cfRule type="cellIs" dxfId="628" priority="882" operator="equal">
      <formula>"Yellow"</formula>
    </cfRule>
    <cfRule type="cellIs" dxfId="627" priority="883" operator="equal">
      <formula>"Orange"</formula>
    </cfRule>
    <cfRule type="cellIs" dxfId="626" priority="884" operator="equal">
      <formula>"Brown"</formula>
    </cfRule>
    <cfRule type="cellIs" dxfId="625" priority="885" operator="equal">
      <formula>"Red"</formula>
    </cfRule>
  </conditionalFormatting>
  <conditionalFormatting sqref="H72">
    <cfRule type="cellIs" dxfId="624" priority="876" operator="equal">
      <formula>"Green"</formula>
    </cfRule>
    <cfRule type="cellIs" dxfId="623" priority="877" operator="equal">
      <formula>"Yellow"</formula>
    </cfRule>
    <cfRule type="cellIs" dxfId="622" priority="878" operator="equal">
      <formula>"Orange"</formula>
    </cfRule>
    <cfRule type="cellIs" dxfId="621" priority="879" operator="equal">
      <formula>"Brown"</formula>
    </cfRule>
    <cfRule type="cellIs" dxfId="620" priority="880" operator="equal">
      <formula>"Red"</formula>
    </cfRule>
  </conditionalFormatting>
  <conditionalFormatting sqref="H73">
    <cfRule type="cellIs" dxfId="619" priority="871" operator="equal">
      <formula>"Green"</formula>
    </cfRule>
    <cfRule type="cellIs" dxfId="618" priority="872" operator="equal">
      <formula>"Yellow"</formula>
    </cfRule>
    <cfRule type="cellIs" dxfId="617" priority="873" operator="equal">
      <formula>"Orange"</formula>
    </cfRule>
    <cfRule type="cellIs" dxfId="616" priority="874" operator="equal">
      <formula>"Brown"</formula>
    </cfRule>
    <cfRule type="cellIs" dxfId="615" priority="875" operator="equal">
      <formula>"Red"</formula>
    </cfRule>
  </conditionalFormatting>
  <conditionalFormatting sqref="H75">
    <cfRule type="cellIs" dxfId="614" priority="866" operator="equal">
      <formula>"Green"</formula>
    </cfRule>
    <cfRule type="cellIs" dxfId="613" priority="867" operator="equal">
      <formula>"Yellow"</formula>
    </cfRule>
    <cfRule type="cellIs" dxfId="612" priority="868" operator="equal">
      <formula>"Orange"</formula>
    </cfRule>
    <cfRule type="cellIs" dxfId="611" priority="869" operator="equal">
      <formula>"Brown"</formula>
    </cfRule>
    <cfRule type="cellIs" dxfId="610" priority="870" operator="equal">
      <formula>"Red"</formula>
    </cfRule>
  </conditionalFormatting>
  <conditionalFormatting sqref="H77">
    <cfRule type="cellIs" dxfId="609" priority="861" operator="equal">
      <formula>"Green"</formula>
    </cfRule>
    <cfRule type="cellIs" dxfId="608" priority="862" operator="equal">
      <formula>"Yellow"</formula>
    </cfRule>
    <cfRule type="cellIs" dxfId="607" priority="863" operator="equal">
      <formula>"Orange"</formula>
    </cfRule>
    <cfRule type="cellIs" dxfId="606" priority="864" operator="equal">
      <formula>"Brown"</formula>
    </cfRule>
    <cfRule type="cellIs" dxfId="605" priority="865" operator="equal">
      <formula>"Red"</formula>
    </cfRule>
  </conditionalFormatting>
  <conditionalFormatting sqref="H74">
    <cfRule type="cellIs" dxfId="604" priority="856" operator="equal">
      <formula>"Green"</formula>
    </cfRule>
    <cfRule type="cellIs" dxfId="603" priority="857" operator="equal">
      <formula>"Yellow"</formula>
    </cfRule>
    <cfRule type="cellIs" dxfId="602" priority="858" operator="equal">
      <formula>"Orange"</formula>
    </cfRule>
    <cfRule type="cellIs" dxfId="601" priority="859" operator="equal">
      <formula>"Brown"</formula>
    </cfRule>
    <cfRule type="cellIs" dxfId="600" priority="860" operator="equal">
      <formula>"Red"</formula>
    </cfRule>
  </conditionalFormatting>
  <conditionalFormatting sqref="H76">
    <cfRule type="cellIs" dxfId="599" priority="851" operator="equal">
      <formula>"Green"</formula>
    </cfRule>
    <cfRule type="cellIs" dxfId="598" priority="852" operator="equal">
      <formula>"Yellow"</formula>
    </cfRule>
    <cfRule type="cellIs" dxfId="597" priority="853" operator="equal">
      <formula>"Orange"</formula>
    </cfRule>
    <cfRule type="cellIs" dxfId="596" priority="854" operator="equal">
      <formula>"Brown"</formula>
    </cfRule>
    <cfRule type="cellIs" dxfId="595" priority="855" operator="equal">
      <formula>"Red"</formula>
    </cfRule>
  </conditionalFormatting>
  <conditionalFormatting sqref="H78">
    <cfRule type="cellIs" dxfId="594" priority="846" operator="equal">
      <formula>"Green"</formula>
    </cfRule>
    <cfRule type="cellIs" dxfId="593" priority="847" operator="equal">
      <formula>"Yellow"</formula>
    </cfRule>
    <cfRule type="cellIs" dxfId="592" priority="848" operator="equal">
      <formula>"Orange"</formula>
    </cfRule>
    <cfRule type="cellIs" dxfId="591" priority="849" operator="equal">
      <formula>"Brown"</formula>
    </cfRule>
    <cfRule type="cellIs" dxfId="590" priority="850" operator="equal">
      <formula>"Red"</formula>
    </cfRule>
  </conditionalFormatting>
  <conditionalFormatting sqref="H80">
    <cfRule type="cellIs" dxfId="589" priority="841" operator="equal">
      <formula>"Green"</formula>
    </cfRule>
    <cfRule type="cellIs" dxfId="588" priority="842" operator="equal">
      <formula>"Yellow"</formula>
    </cfRule>
    <cfRule type="cellIs" dxfId="587" priority="843" operator="equal">
      <formula>"Orange"</formula>
    </cfRule>
    <cfRule type="cellIs" dxfId="586" priority="844" operator="equal">
      <formula>"Brown"</formula>
    </cfRule>
    <cfRule type="cellIs" dxfId="585" priority="845" operator="equal">
      <formula>"Red"</formula>
    </cfRule>
  </conditionalFormatting>
  <conditionalFormatting sqref="H79">
    <cfRule type="cellIs" dxfId="584" priority="836" operator="equal">
      <formula>"Green"</formula>
    </cfRule>
    <cfRule type="cellIs" dxfId="583" priority="837" operator="equal">
      <formula>"Yellow"</formula>
    </cfRule>
    <cfRule type="cellIs" dxfId="582" priority="838" operator="equal">
      <formula>"Orange"</formula>
    </cfRule>
    <cfRule type="cellIs" dxfId="581" priority="839" operator="equal">
      <formula>"Brown"</formula>
    </cfRule>
    <cfRule type="cellIs" dxfId="580" priority="840" operator="equal">
      <formula>"Red"</formula>
    </cfRule>
  </conditionalFormatting>
  <conditionalFormatting sqref="M61">
    <cfRule type="cellIs" dxfId="579" priority="831" operator="equal">
      <formula>"Green"</formula>
    </cfRule>
    <cfRule type="cellIs" dxfId="578" priority="832" operator="equal">
      <formula>"Yellow"</formula>
    </cfRule>
    <cfRule type="cellIs" dxfId="577" priority="833" operator="equal">
      <formula>"Orange"</formula>
    </cfRule>
    <cfRule type="cellIs" dxfId="576" priority="834" operator="equal">
      <formula>"Brown"</formula>
    </cfRule>
    <cfRule type="cellIs" dxfId="575" priority="835" operator="equal">
      <formula>"Red"</formula>
    </cfRule>
  </conditionalFormatting>
  <conditionalFormatting sqref="M62">
    <cfRule type="cellIs" dxfId="574" priority="826" operator="equal">
      <formula>"Green"</formula>
    </cfRule>
    <cfRule type="cellIs" dxfId="573" priority="827" operator="equal">
      <formula>"Yellow"</formula>
    </cfRule>
    <cfRule type="cellIs" dxfId="572" priority="828" operator="equal">
      <formula>"Orange"</formula>
    </cfRule>
    <cfRule type="cellIs" dxfId="571" priority="829" operator="equal">
      <formula>"Brown"</formula>
    </cfRule>
    <cfRule type="cellIs" dxfId="570" priority="830" operator="equal">
      <formula>"Red"</formula>
    </cfRule>
  </conditionalFormatting>
  <conditionalFormatting sqref="M63">
    <cfRule type="cellIs" dxfId="569" priority="821" operator="equal">
      <formula>"Green"</formula>
    </cfRule>
    <cfRule type="cellIs" dxfId="568" priority="822" operator="equal">
      <formula>"Yellow"</formula>
    </cfRule>
    <cfRule type="cellIs" dxfId="567" priority="823" operator="equal">
      <formula>"Orange"</formula>
    </cfRule>
    <cfRule type="cellIs" dxfId="566" priority="824" operator="equal">
      <formula>"Brown"</formula>
    </cfRule>
    <cfRule type="cellIs" dxfId="565" priority="825" operator="equal">
      <formula>"Red"</formula>
    </cfRule>
  </conditionalFormatting>
  <conditionalFormatting sqref="M65">
    <cfRule type="cellIs" dxfId="564" priority="816" operator="equal">
      <formula>"Green"</formula>
    </cfRule>
    <cfRule type="cellIs" dxfId="563" priority="817" operator="equal">
      <formula>"Yellow"</formula>
    </cfRule>
    <cfRule type="cellIs" dxfId="562" priority="818" operator="equal">
      <formula>"Orange"</formula>
    </cfRule>
    <cfRule type="cellIs" dxfId="561" priority="819" operator="equal">
      <formula>"Brown"</formula>
    </cfRule>
    <cfRule type="cellIs" dxfId="560" priority="820" operator="equal">
      <formula>"Red"</formula>
    </cfRule>
  </conditionalFormatting>
  <conditionalFormatting sqref="M67">
    <cfRule type="cellIs" dxfId="559" priority="811" operator="equal">
      <formula>"Green"</formula>
    </cfRule>
    <cfRule type="cellIs" dxfId="558" priority="812" operator="equal">
      <formula>"Yellow"</formula>
    </cfRule>
    <cfRule type="cellIs" dxfId="557" priority="813" operator="equal">
      <formula>"Orange"</formula>
    </cfRule>
    <cfRule type="cellIs" dxfId="556" priority="814" operator="equal">
      <formula>"Brown"</formula>
    </cfRule>
    <cfRule type="cellIs" dxfId="555" priority="815" operator="equal">
      <formula>"Red"</formula>
    </cfRule>
  </conditionalFormatting>
  <conditionalFormatting sqref="M64">
    <cfRule type="cellIs" dxfId="554" priority="806" operator="equal">
      <formula>"Green"</formula>
    </cfRule>
    <cfRule type="cellIs" dxfId="553" priority="807" operator="equal">
      <formula>"Yellow"</formula>
    </cfRule>
    <cfRule type="cellIs" dxfId="552" priority="808" operator="equal">
      <formula>"Orange"</formula>
    </cfRule>
    <cfRule type="cellIs" dxfId="551" priority="809" operator="equal">
      <formula>"Brown"</formula>
    </cfRule>
    <cfRule type="cellIs" dxfId="550" priority="810" operator="equal">
      <formula>"Red"</formula>
    </cfRule>
  </conditionalFormatting>
  <conditionalFormatting sqref="M66">
    <cfRule type="cellIs" dxfId="549" priority="801" operator="equal">
      <formula>"Green"</formula>
    </cfRule>
    <cfRule type="cellIs" dxfId="548" priority="802" operator="equal">
      <formula>"Yellow"</formula>
    </cfRule>
    <cfRule type="cellIs" dxfId="547" priority="803" operator="equal">
      <formula>"Orange"</formula>
    </cfRule>
    <cfRule type="cellIs" dxfId="546" priority="804" operator="equal">
      <formula>"Brown"</formula>
    </cfRule>
    <cfRule type="cellIs" dxfId="545" priority="805" operator="equal">
      <formula>"Red"</formula>
    </cfRule>
  </conditionalFormatting>
  <conditionalFormatting sqref="M68">
    <cfRule type="cellIs" dxfId="544" priority="796" operator="equal">
      <formula>"Green"</formula>
    </cfRule>
    <cfRule type="cellIs" dxfId="543" priority="797" operator="equal">
      <formula>"Yellow"</formula>
    </cfRule>
    <cfRule type="cellIs" dxfId="542" priority="798" operator="equal">
      <formula>"Orange"</formula>
    </cfRule>
    <cfRule type="cellIs" dxfId="541" priority="799" operator="equal">
      <formula>"Brown"</formula>
    </cfRule>
    <cfRule type="cellIs" dxfId="540" priority="800" operator="equal">
      <formula>"Red"</formula>
    </cfRule>
  </conditionalFormatting>
  <conditionalFormatting sqref="M70">
    <cfRule type="cellIs" dxfId="539" priority="791" operator="equal">
      <formula>"Green"</formula>
    </cfRule>
    <cfRule type="cellIs" dxfId="538" priority="792" operator="equal">
      <formula>"Yellow"</formula>
    </cfRule>
    <cfRule type="cellIs" dxfId="537" priority="793" operator="equal">
      <formula>"Orange"</formula>
    </cfRule>
    <cfRule type="cellIs" dxfId="536" priority="794" operator="equal">
      <formula>"Brown"</formula>
    </cfRule>
    <cfRule type="cellIs" dxfId="535" priority="795" operator="equal">
      <formula>"Red"</formula>
    </cfRule>
  </conditionalFormatting>
  <conditionalFormatting sqref="M69">
    <cfRule type="cellIs" dxfId="534" priority="786" operator="equal">
      <formula>"Green"</formula>
    </cfRule>
    <cfRule type="cellIs" dxfId="533" priority="787" operator="equal">
      <formula>"Yellow"</formula>
    </cfRule>
    <cfRule type="cellIs" dxfId="532" priority="788" operator="equal">
      <formula>"Orange"</formula>
    </cfRule>
    <cfRule type="cellIs" dxfId="531" priority="789" operator="equal">
      <formula>"Brown"</formula>
    </cfRule>
    <cfRule type="cellIs" dxfId="530" priority="790" operator="equal">
      <formula>"Red"</formula>
    </cfRule>
  </conditionalFormatting>
  <conditionalFormatting sqref="M71">
    <cfRule type="cellIs" dxfId="529" priority="781" operator="equal">
      <formula>"Green"</formula>
    </cfRule>
    <cfRule type="cellIs" dxfId="528" priority="782" operator="equal">
      <formula>"Yellow"</formula>
    </cfRule>
    <cfRule type="cellIs" dxfId="527" priority="783" operator="equal">
      <formula>"Orange"</formula>
    </cfRule>
    <cfRule type="cellIs" dxfId="526" priority="784" operator="equal">
      <formula>"Brown"</formula>
    </cfRule>
    <cfRule type="cellIs" dxfId="525" priority="785" operator="equal">
      <formula>"Red"</formula>
    </cfRule>
  </conditionalFormatting>
  <conditionalFormatting sqref="M72">
    <cfRule type="cellIs" dxfId="524" priority="776" operator="equal">
      <formula>"Green"</formula>
    </cfRule>
    <cfRule type="cellIs" dxfId="523" priority="777" operator="equal">
      <formula>"Yellow"</formula>
    </cfRule>
    <cfRule type="cellIs" dxfId="522" priority="778" operator="equal">
      <formula>"Orange"</formula>
    </cfRule>
    <cfRule type="cellIs" dxfId="521" priority="779" operator="equal">
      <formula>"Brown"</formula>
    </cfRule>
    <cfRule type="cellIs" dxfId="520" priority="780" operator="equal">
      <formula>"Red"</formula>
    </cfRule>
  </conditionalFormatting>
  <conditionalFormatting sqref="M73">
    <cfRule type="cellIs" dxfId="519" priority="771" operator="equal">
      <formula>"Green"</formula>
    </cfRule>
    <cfRule type="cellIs" dxfId="518" priority="772" operator="equal">
      <formula>"Yellow"</formula>
    </cfRule>
    <cfRule type="cellIs" dxfId="517" priority="773" operator="equal">
      <formula>"Orange"</formula>
    </cfRule>
    <cfRule type="cellIs" dxfId="516" priority="774" operator="equal">
      <formula>"Brown"</formula>
    </cfRule>
    <cfRule type="cellIs" dxfId="515" priority="775" operator="equal">
      <formula>"Red"</formula>
    </cfRule>
  </conditionalFormatting>
  <conditionalFormatting sqref="M75">
    <cfRule type="cellIs" dxfId="514" priority="766" operator="equal">
      <formula>"Green"</formula>
    </cfRule>
    <cfRule type="cellIs" dxfId="513" priority="767" operator="equal">
      <formula>"Yellow"</formula>
    </cfRule>
    <cfRule type="cellIs" dxfId="512" priority="768" operator="equal">
      <formula>"Orange"</formula>
    </cfRule>
    <cfRule type="cellIs" dxfId="511" priority="769" operator="equal">
      <formula>"Brown"</formula>
    </cfRule>
    <cfRule type="cellIs" dxfId="510" priority="770" operator="equal">
      <formula>"Red"</formula>
    </cfRule>
  </conditionalFormatting>
  <conditionalFormatting sqref="M77">
    <cfRule type="cellIs" dxfId="509" priority="761" operator="equal">
      <formula>"Green"</formula>
    </cfRule>
    <cfRule type="cellIs" dxfId="508" priority="762" operator="equal">
      <formula>"Yellow"</formula>
    </cfRule>
    <cfRule type="cellIs" dxfId="507" priority="763" operator="equal">
      <formula>"Orange"</formula>
    </cfRule>
    <cfRule type="cellIs" dxfId="506" priority="764" operator="equal">
      <formula>"Brown"</formula>
    </cfRule>
    <cfRule type="cellIs" dxfId="505" priority="765" operator="equal">
      <formula>"Red"</formula>
    </cfRule>
  </conditionalFormatting>
  <conditionalFormatting sqref="M74">
    <cfRule type="cellIs" dxfId="504" priority="756" operator="equal">
      <formula>"Green"</formula>
    </cfRule>
    <cfRule type="cellIs" dxfId="503" priority="757" operator="equal">
      <formula>"Yellow"</formula>
    </cfRule>
    <cfRule type="cellIs" dxfId="502" priority="758" operator="equal">
      <formula>"Orange"</formula>
    </cfRule>
    <cfRule type="cellIs" dxfId="501" priority="759" operator="equal">
      <formula>"Brown"</formula>
    </cfRule>
    <cfRule type="cellIs" dxfId="500" priority="760" operator="equal">
      <formula>"Red"</formula>
    </cfRule>
  </conditionalFormatting>
  <conditionalFormatting sqref="M76">
    <cfRule type="cellIs" dxfId="499" priority="751" operator="equal">
      <formula>"Green"</formula>
    </cfRule>
    <cfRule type="cellIs" dxfId="498" priority="752" operator="equal">
      <formula>"Yellow"</formula>
    </cfRule>
    <cfRule type="cellIs" dxfId="497" priority="753" operator="equal">
      <formula>"Orange"</formula>
    </cfRule>
    <cfRule type="cellIs" dxfId="496" priority="754" operator="equal">
      <formula>"Brown"</formula>
    </cfRule>
    <cfRule type="cellIs" dxfId="495" priority="755" operator="equal">
      <formula>"Red"</formula>
    </cfRule>
  </conditionalFormatting>
  <conditionalFormatting sqref="M78">
    <cfRule type="cellIs" dxfId="494" priority="746" operator="equal">
      <formula>"Green"</formula>
    </cfRule>
    <cfRule type="cellIs" dxfId="493" priority="747" operator="equal">
      <formula>"Yellow"</formula>
    </cfRule>
    <cfRule type="cellIs" dxfId="492" priority="748" operator="equal">
      <formula>"Orange"</formula>
    </cfRule>
    <cfRule type="cellIs" dxfId="491" priority="749" operator="equal">
      <formula>"Brown"</formula>
    </cfRule>
    <cfRule type="cellIs" dxfId="490" priority="750" operator="equal">
      <formula>"Red"</formula>
    </cfRule>
  </conditionalFormatting>
  <conditionalFormatting sqref="M80">
    <cfRule type="cellIs" dxfId="489" priority="741" operator="equal">
      <formula>"Green"</formula>
    </cfRule>
    <cfRule type="cellIs" dxfId="488" priority="742" operator="equal">
      <formula>"Yellow"</formula>
    </cfRule>
    <cfRule type="cellIs" dxfId="487" priority="743" operator="equal">
      <formula>"Orange"</formula>
    </cfRule>
    <cfRule type="cellIs" dxfId="486" priority="744" operator="equal">
      <formula>"Brown"</formula>
    </cfRule>
    <cfRule type="cellIs" dxfId="485" priority="745" operator="equal">
      <formula>"Red"</formula>
    </cfRule>
  </conditionalFormatting>
  <conditionalFormatting sqref="M79">
    <cfRule type="cellIs" dxfId="484" priority="736" operator="equal">
      <formula>"Green"</formula>
    </cfRule>
    <cfRule type="cellIs" dxfId="483" priority="737" operator="equal">
      <formula>"Yellow"</formula>
    </cfRule>
    <cfRule type="cellIs" dxfId="482" priority="738" operator="equal">
      <formula>"Orange"</formula>
    </cfRule>
    <cfRule type="cellIs" dxfId="481" priority="739" operator="equal">
      <formula>"Brown"</formula>
    </cfRule>
    <cfRule type="cellIs" dxfId="480" priority="740" operator="equal">
      <formula>"Red"</formula>
    </cfRule>
  </conditionalFormatting>
  <conditionalFormatting sqref="F72">
    <cfRule type="cellIs" dxfId="479" priority="726" operator="equal">
      <formula>"Green"</formula>
    </cfRule>
    <cfRule type="cellIs" dxfId="478" priority="727" operator="equal">
      <formula>"Yellow"</formula>
    </cfRule>
    <cfRule type="cellIs" dxfId="477" priority="728" operator="equal">
      <formula>"Orange"</formula>
    </cfRule>
    <cfRule type="cellIs" dxfId="476" priority="729" operator="equal">
      <formula>"Brown"</formula>
    </cfRule>
    <cfRule type="cellIs" dxfId="475" priority="730" operator="equal">
      <formula>"Red"</formula>
    </cfRule>
  </conditionalFormatting>
  <conditionalFormatting sqref="F73">
    <cfRule type="cellIs" dxfId="474" priority="721" operator="equal">
      <formula>"Green"</formula>
    </cfRule>
    <cfRule type="cellIs" dxfId="473" priority="722" operator="equal">
      <formula>"Yellow"</formula>
    </cfRule>
    <cfRule type="cellIs" dxfId="472" priority="723" operator="equal">
      <formula>"Orange"</formula>
    </cfRule>
    <cfRule type="cellIs" dxfId="471" priority="724" operator="equal">
      <formula>"Brown"</formula>
    </cfRule>
    <cfRule type="cellIs" dxfId="470" priority="725" operator="equal">
      <formula>"Red"</formula>
    </cfRule>
  </conditionalFormatting>
  <conditionalFormatting sqref="F74">
    <cfRule type="cellIs" dxfId="469" priority="716" operator="equal">
      <formula>"Green"</formula>
    </cfRule>
    <cfRule type="cellIs" dxfId="468" priority="717" operator="equal">
      <formula>"Yellow"</formula>
    </cfRule>
    <cfRule type="cellIs" dxfId="467" priority="718" operator="equal">
      <formula>"Orange"</formula>
    </cfRule>
    <cfRule type="cellIs" dxfId="466" priority="719" operator="equal">
      <formula>"Brown"</formula>
    </cfRule>
    <cfRule type="cellIs" dxfId="465" priority="720" operator="equal">
      <formula>"Red"</formula>
    </cfRule>
  </conditionalFormatting>
  <conditionalFormatting sqref="F75">
    <cfRule type="cellIs" dxfId="464" priority="711" operator="equal">
      <formula>"Green"</formula>
    </cfRule>
    <cfRule type="cellIs" dxfId="463" priority="712" operator="equal">
      <formula>"Yellow"</formula>
    </cfRule>
    <cfRule type="cellIs" dxfId="462" priority="713" operator="equal">
      <formula>"Orange"</formula>
    </cfRule>
    <cfRule type="cellIs" dxfId="461" priority="714" operator="equal">
      <formula>"Brown"</formula>
    </cfRule>
    <cfRule type="cellIs" dxfId="460" priority="715" operator="equal">
      <formula>"Red"</formula>
    </cfRule>
  </conditionalFormatting>
  <conditionalFormatting sqref="F76">
    <cfRule type="cellIs" dxfId="459" priority="706" operator="equal">
      <formula>"Green"</formula>
    </cfRule>
    <cfRule type="cellIs" dxfId="458" priority="707" operator="equal">
      <formula>"Yellow"</formula>
    </cfRule>
    <cfRule type="cellIs" dxfId="457" priority="708" operator="equal">
      <formula>"Orange"</formula>
    </cfRule>
    <cfRule type="cellIs" dxfId="456" priority="709" operator="equal">
      <formula>"Brown"</formula>
    </cfRule>
    <cfRule type="cellIs" dxfId="455" priority="710" operator="equal">
      <formula>"Red"</formula>
    </cfRule>
  </conditionalFormatting>
  <conditionalFormatting sqref="F77">
    <cfRule type="cellIs" dxfId="454" priority="701" operator="equal">
      <formula>"Green"</formula>
    </cfRule>
    <cfRule type="cellIs" dxfId="453" priority="702" operator="equal">
      <formula>"Yellow"</formula>
    </cfRule>
    <cfRule type="cellIs" dxfId="452" priority="703" operator="equal">
      <formula>"Orange"</formula>
    </cfRule>
    <cfRule type="cellIs" dxfId="451" priority="704" operator="equal">
      <formula>"Brown"</formula>
    </cfRule>
    <cfRule type="cellIs" dxfId="450" priority="705" operator="equal">
      <formula>"Red"</formula>
    </cfRule>
  </conditionalFormatting>
  <conditionalFormatting sqref="F78">
    <cfRule type="cellIs" dxfId="449" priority="696" operator="equal">
      <formula>"Green"</formula>
    </cfRule>
    <cfRule type="cellIs" dxfId="448" priority="697" operator="equal">
      <formula>"Yellow"</formula>
    </cfRule>
    <cfRule type="cellIs" dxfId="447" priority="698" operator="equal">
      <formula>"Orange"</formula>
    </cfRule>
    <cfRule type="cellIs" dxfId="446" priority="699" operator="equal">
      <formula>"Brown"</formula>
    </cfRule>
    <cfRule type="cellIs" dxfId="445" priority="700" operator="equal">
      <formula>"Red"</formula>
    </cfRule>
  </conditionalFormatting>
  <conditionalFormatting sqref="F79">
    <cfRule type="cellIs" dxfId="444" priority="691" operator="equal">
      <formula>"Green"</formula>
    </cfRule>
    <cfRule type="cellIs" dxfId="443" priority="692" operator="equal">
      <formula>"Yellow"</formula>
    </cfRule>
    <cfRule type="cellIs" dxfId="442" priority="693" operator="equal">
      <formula>"Orange"</formula>
    </cfRule>
    <cfRule type="cellIs" dxfId="441" priority="694" operator="equal">
      <formula>"Brown"</formula>
    </cfRule>
    <cfRule type="cellIs" dxfId="440" priority="695" operator="equal">
      <formula>"Red"</formula>
    </cfRule>
  </conditionalFormatting>
  <conditionalFormatting sqref="F80">
    <cfRule type="cellIs" dxfId="439" priority="686" operator="equal">
      <formula>"Green"</formula>
    </cfRule>
    <cfRule type="cellIs" dxfId="438" priority="687" operator="equal">
      <formula>"Yellow"</formula>
    </cfRule>
    <cfRule type="cellIs" dxfId="437" priority="688" operator="equal">
      <formula>"Orange"</formula>
    </cfRule>
    <cfRule type="cellIs" dxfId="436" priority="689" operator="equal">
      <formula>"Brown"</formula>
    </cfRule>
    <cfRule type="cellIs" dxfId="435" priority="690" operator="equal">
      <formula>"Red"</formula>
    </cfRule>
  </conditionalFormatting>
  <conditionalFormatting sqref="F71">
    <cfRule type="cellIs" dxfId="434" priority="731" operator="equal">
      <formula>"Green"</formula>
    </cfRule>
    <cfRule type="cellIs" dxfId="433" priority="732" operator="equal">
      <formula>"Yellow"</formula>
    </cfRule>
    <cfRule type="cellIs" dxfId="432" priority="733" operator="equal">
      <formula>"Orange"</formula>
    </cfRule>
    <cfRule type="cellIs" dxfId="431" priority="734" operator="equal">
      <formula>"Brown"</formula>
    </cfRule>
    <cfRule type="cellIs" dxfId="430" priority="735" operator="equal">
      <formula>"Red"</formula>
    </cfRule>
  </conditionalFormatting>
  <conditionalFormatting sqref="K71">
    <cfRule type="cellIs" dxfId="429" priority="681" operator="equal">
      <formula>"Green"</formula>
    </cfRule>
    <cfRule type="cellIs" dxfId="428" priority="682" operator="equal">
      <formula>"Yellow"</formula>
    </cfRule>
    <cfRule type="cellIs" dxfId="427" priority="683" operator="equal">
      <formula>"Orange"</formula>
    </cfRule>
    <cfRule type="cellIs" dxfId="426" priority="684" operator="equal">
      <formula>"Brown"</formula>
    </cfRule>
    <cfRule type="cellIs" dxfId="425" priority="685" operator="equal">
      <formula>"Red"</formula>
    </cfRule>
  </conditionalFormatting>
  <conditionalFormatting sqref="K72">
    <cfRule type="cellIs" dxfId="424" priority="676" operator="equal">
      <formula>"Green"</formula>
    </cfRule>
    <cfRule type="cellIs" dxfId="423" priority="677" operator="equal">
      <formula>"Yellow"</formula>
    </cfRule>
    <cfRule type="cellIs" dxfId="422" priority="678" operator="equal">
      <formula>"Orange"</formula>
    </cfRule>
    <cfRule type="cellIs" dxfId="421" priority="679" operator="equal">
      <formula>"Brown"</formula>
    </cfRule>
    <cfRule type="cellIs" dxfId="420" priority="680" operator="equal">
      <formula>"Red"</formula>
    </cfRule>
  </conditionalFormatting>
  <conditionalFormatting sqref="K73">
    <cfRule type="cellIs" dxfId="419" priority="671" operator="equal">
      <formula>"Green"</formula>
    </cfRule>
    <cfRule type="cellIs" dxfId="418" priority="672" operator="equal">
      <formula>"Yellow"</formula>
    </cfRule>
    <cfRule type="cellIs" dxfId="417" priority="673" operator="equal">
      <formula>"Orange"</formula>
    </cfRule>
    <cfRule type="cellIs" dxfId="416" priority="674" operator="equal">
      <formula>"Brown"</formula>
    </cfRule>
    <cfRule type="cellIs" dxfId="415" priority="675" operator="equal">
      <formula>"Red"</formula>
    </cfRule>
  </conditionalFormatting>
  <conditionalFormatting sqref="K74">
    <cfRule type="cellIs" dxfId="414" priority="666" operator="equal">
      <formula>"Green"</formula>
    </cfRule>
    <cfRule type="cellIs" dxfId="413" priority="667" operator="equal">
      <formula>"Yellow"</formula>
    </cfRule>
    <cfRule type="cellIs" dxfId="412" priority="668" operator="equal">
      <formula>"Orange"</formula>
    </cfRule>
    <cfRule type="cellIs" dxfId="411" priority="669" operator="equal">
      <formula>"Brown"</formula>
    </cfRule>
    <cfRule type="cellIs" dxfId="410" priority="670" operator="equal">
      <formula>"Red"</formula>
    </cfRule>
  </conditionalFormatting>
  <conditionalFormatting sqref="K75">
    <cfRule type="cellIs" dxfId="409" priority="661" operator="equal">
      <formula>"Green"</formula>
    </cfRule>
    <cfRule type="cellIs" dxfId="408" priority="662" operator="equal">
      <formula>"Yellow"</formula>
    </cfRule>
    <cfRule type="cellIs" dxfId="407" priority="663" operator="equal">
      <formula>"Orange"</formula>
    </cfRule>
    <cfRule type="cellIs" dxfId="406" priority="664" operator="equal">
      <formula>"Brown"</formula>
    </cfRule>
    <cfRule type="cellIs" dxfId="405" priority="665" operator="equal">
      <formula>"Red"</formula>
    </cfRule>
  </conditionalFormatting>
  <conditionalFormatting sqref="K76">
    <cfRule type="cellIs" dxfId="404" priority="656" operator="equal">
      <formula>"Green"</formula>
    </cfRule>
    <cfRule type="cellIs" dxfId="403" priority="657" operator="equal">
      <formula>"Yellow"</formula>
    </cfRule>
    <cfRule type="cellIs" dxfId="402" priority="658" operator="equal">
      <formula>"Orange"</formula>
    </cfRule>
    <cfRule type="cellIs" dxfId="401" priority="659" operator="equal">
      <formula>"Brown"</formula>
    </cfRule>
    <cfRule type="cellIs" dxfId="400" priority="660" operator="equal">
      <formula>"Red"</formula>
    </cfRule>
  </conditionalFormatting>
  <conditionalFormatting sqref="K77">
    <cfRule type="cellIs" dxfId="399" priority="651" operator="equal">
      <formula>"Green"</formula>
    </cfRule>
    <cfRule type="cellIs" dxfId="398" priority="652" operator="equal">
      <formula>"Yellow"</formula>
    </cfRule>
    <cfRule type="cellIs" dxfId="397" priority="653" operator="equal">
      <formula>"Orange"</formula>
    </cfRule>
    <cfRule type="cellIs" dxfId="396" priority="654" operator="equal">
      <formula>"Brown"</formula>
    </cfRule>
    <cfRule type="cellIs" dxfId="395" priority="655" operator="equal">
      <formula>"Red"</formula>
    </cfRule>
  </conditionalFormatting>
  <conditionalFormatting sqref="K78">
    <cfRule type="cellIs" dxfId="394" priority="646" operator="equal">
      <formula>"Green"</formula>
    </cfRule>
    <cfRule type="cellIs" dxfId="393" priority="647" operator="equal">
      <formula>"Yellow"</formula>
    </cfRule>
    <cfRule type="cellIs" dxfId="392" priority="648" operator="equal">
      <formula>"Orange"</formula>
    </cfRule>
    <cfRule type="cellIs" dxfId="391" priority="649" operator="equal">
      <formula>"Brown"</formula>
    </cfRule>
    <cfRule type="cellIs" dxfId="390" priority="650" operator="equal">
      <formula>"Red"</formula>
    </cfRule>
  </conditionalFormatting>
  <conditionalFormatting sqref="K79">
    <cfRule type="cellIs" dxfId="389" priority="641" operator="equal">
      <formula>"Green"</formula>
    </cfRule>
    <cfRule type="cellIs" dxfId="388" priority="642" operator="equal">
      <formula>"Yellow"</formula>
    </cfRule>
    <cfRule type="cellIs" dxfId="387" priority="643" operator="equal">
      <formula>"Orange"</formula>
    </cfRule>
    <cfRule type="cellIs" dxfId="386" priority="644" operator="equal">
      <formula>"Brown"</formula>
    </cfRule>
    <cfRule type="cellIs" dxfId="385" priority="645" operator="equal">
      <formula>"Red"</formula>
    </cfRule>
  </conditionalFormatting>
  <conditionalFormatting sqref="K80">
    <cfRule type="cellIs" dxfId="384" priority="636" operator="equal">
      <formula>"Green"</formula>
    </cfRule>
    <cfRule type="cellIs" dxfId="383" priority="637" operator="equal">
      <formula>"Yellow"</formula>
    </cfRule>
    <cfRule type="cellIs" dxfId="382" priority="638" operator="equal">
      <formula>"Orange"</formula>
    </cfRule>
    <cfRule type="cellIs" dxfId="381" priority="639" operator="equal">
      <formula>"Brown"</formula>
    </cfRule>
    <cfRule type="cellIs" dxfId="380" priority="640" operator="equal">
      <formula>"Red"</formula>
    </cfRule>
  </conditionalFormatting>
  <conditionalFormatting sqref="D71">
    <cfRule type="cellIs" dxfId="379" priority="631" operator="equal">
      <formula>"Green"</formula>
    </cfRule>
    <cfRule type="cellIs" dxfId="378" priority="632" operator="equal">
      <formula>"Yellow"</formula>
    </cfRule>
    <cfRule type="cellIs" dxfId="377" priority="633" operator="equal">
      <formula>"Orange"</formula>
    </cfRule>
    <cfRule type="cellIs" dxfId="376" priority="634" operator="equal">
      <formula>"Brown"</formula>
    </cfRule>
    <cfRule type="cellIs" dxfId="375" priority="635" operator="equal">
      <formula>"Red"</formula>
    </cfRule>
  </conditionalFormatting>
  <conditionalFormatting sqref="D72">
    <cfRule type="cellIs" dxfId="374" priority="626" operator="equal">
      <formula>"Green"</formula>
    </cfRule>
    <cfRule type="cellIs" dxfId="373" priority="627" operator="equal">
      <formula>"Yellow"</formula>
    </cfRule>
    <cfRule type="cellIs" dxfId="372" priority="628" operator="equal">
      <formula>"Orange"</formula>
    </cfRule>
    <cfRule type="cellIs" dxfId="371" priority="629" operator="equal">
      <formula>"Brown"</formula>
    </cfRule>
    <cfRule type="cellIs" dxfId="370" priority="630" operator="equal">
      <formula>"Red"</formula>
    </cfRule>
  </conditionalFormatting>
  <conditionalFormatting sqref="D73">
    <cfRule type="cellIs" dxfId="369" priority="621" operator="equal">
      <formula>"Green"</formula>
    </cfRule>
    <cfRule type="cellIs" dxfId="368" priority="622" operator="equal">
      <formula>"Yellow"</formula>
    </cfRule>
    <cfRule type="cellIs" dxfId="367" priority="623" operator="equal">
      <formula>"Orange"</formula>
    </cfRule>
    <cfRule type="cellIs" dxfId="366" priority="624" operator="equal">
      <formula>"Brown"</formula>
    </cfRule>
    <cfRule type="cellIs" dxfId="365" priority="625" operator="equal">
      <formula>"Red"</formula>
    </cfRule>
  </conditionalFormatting>
  <conditionalFormatting sqref="D74">
    <cfRule type="cellIs" dxfId="364" priority="616" operator="equal">
      <formula>"Green"</formula>
    </cfRule>
    <cfRule type="cellIs" dxfId="363" priority="617" operator="equal">
      <formula>"Yellow"</formula>
    </cfRule>
    <cfRule type="cellIs" dxfId="362" priority="618" operator="equal">
      <formula>"Orange"</formula>
    </cfRule>
    <cfRule type="cellIs" dxfId="361" priority="619" operator="equal">
      <formula>"Brown"</formula>
    </cfRule>
    <cfRule type="cellIs" dxfId="360" priority="620" operator="equal">
      <formula>"Red"</formula>
    </cfRule>
  </conditionalFormatting>
  <conditionalFormatting sqref="D75">
    <cfRule type="cellIs" dxfId="359" priority="611" operator="equal">
      <formula>"Green"</formula>
    </cfRule>
    <cfRule type="cellIs" dxfId="358" priority="612" operator="equal">
      <formula>"Yellow"</formula>
    </cfRule>
    <cfRule type="cellIs" dxfId="357" priority="613" operator="equal">
      <formula>"Orange"</formula>
    </cfRule>
    <cfRule type="cellIs" dxfId="356" priority="614" operator="equal">
      <formula>"Brown"</formula>
    </cfRule>
    <cfRule type="cellIs" dxfId="355" priority="615" operator="equal">
      <formula>"Red"</formula>
    </cfRule>
  </conditionalFormatting>
  <conditionalFormatting sqref="D76">
    <cfRule type="cellIs" dxfId="354" priority="606" operator="equal">
      <formula>"Green"</formula>
    </cfRule>
    <cfRule type="cellIs" dxfId="353" priority="607" operator="equal">
      <formula>"Yellow"</formula>
    </cfRule>
    <cfRule type="cellIs" dxfId="352" priority="608" operator="equal">
      <formula>"Orange"</formula>
    </cfRule>
    <cfRule type="cellIs" dxfId="351" priority="609" operator="equal">
      <formula>"Brown"</formula>
    </cfRule>
    <cfRule type="cellIs" dxfId="350" priority="610" operator="equal">
      <formula>"Red"</formula>
    </cfRule>
  </conditionalFormatting>
  <conditionalFormatting sqref="D77">
    <cfRule type="cellIs" dxfId="349" priority="601" operator="equal">
      <formula>"Green"</formula>
    </cfRule>
    <cfRule type="cellIs" dxfId="348" priority="602" operator="equal">
      <formula>"Yellow"</formula>
    </cfRule>
    <cfRule type="cellIs" dxfId="347" priority="603" operator="equal">
      <formula>"Orange"</formula>
    </cfRule>
    <cfRule type="cellIs" dxfId="346" priority="604" operator="equal">
      <formula>"Brown"</formula>
    </cfRule>
    <cfRule type="cellIs" dxfId="345" priority="605" operator="equal">
      <formula>"Red"</formula>
    </cfRule>
  </conditionalFormatting>
  <conditionalFormatting sqref="D78">
    <cfRule type="cellIs" dxfId="344" priority="596" operator="equal">
      <formula>"Green"</formula>
    </cfRule>
    <cfRule type="cellIs" dxfId="343" priority="597" operator="equal">
      <formula>"Yellow"</formula>
    </cfRule>
    <cfRule type="cellIs" dxfId="342" priority="598" operator="equal">
      <formula>"Orange"</formula>
    </cfRule>
    <cfRule type="cellIs" dxfId="341" priority="599" operator="equal">
      <formula>"Brown"</formula>
    </cfRule>
    <cfRule type="cellIs" dxfId="340" priority="600" operator="equal">
      <formula>"Red"</formula>
    </cfRule>
  </conditionalFormatting>
  <conditionalFormatting sqref="D79">
    <cfRule type="cellIs" dxfId="339" priority="591" operator="equal">
      <formula>"Green"</formula>
    </cfRule>
    <cfRule type="cellIs" dxfId="338" priority="592" operator="equal">
      <formula>"Yellow"</formula>
    </cfRule>
    <cfRule type="cellIs" dxfId="337" priority="593" operator="equal">
      <formula>"Orange"</formula>
    </cfRule>
    <cfRule type="cellIs" dxfId="336" priority="594" operator="equal">
      <formula>"Brown"</formula>
    </cfRule>
    <cfRule type="cellIs" dxfId="335" priority="595" operator="equal">
      <formula>"Red"</formula>
    </cfRule>
  </conditionalFormatting>
  <conditionalFormatting sqref="D80">
    <cfRule type="cellIs" dxfId="334" priority="586" operator="equal">
      <formula>"Green"</formula>
    </cfRule>
    <cfRule type="cellIs" dxfId="333" priority="587" operator="equal">
      <formula>"Yellow"</formula>
    </cfRule>
    <cfRule type="cellIs" dxfId="332" priority="588" operator="equal">
      <formula>"Orange"</formula>
    </cfRule>
    <cfRule type="cellIs" dxfId="331" priority="589" operator="equal">
      <formula>"Brown"</formula>
    </cfRule>
    <cfRule type="cellIs" dxfId="330" priority="590" operator="equal">
      <formula>"Red"</formula>
    </cfRule>
  </conditionalFormatting>
  <conditionalFormatting sqref="D81">
    <cfRule type="cellIs" dxfId="329" priority="581" operator="equal">
      <formula>"Green"</formula>
    </cfRule>
    <cfRule type="cellIs" dxfId="328" priority="582" operator="equal">
      <formula>"Yellow"</formula>
    </cfRule>
    <cfRule type="cellIs" dxfId="327" priority="583" operator="equal">
      <formula>"Orange"</formula>
    </cfRule>
    <cfRule type="cellIs" dxfId="326" priority="584" operator="equal">
      <formula>"Brown"</formula>
    </cfRule>
    <cfRule type="cellIs" dxfId="325" priority="585" operator="equal">
      <formula>"Red"</formula>
    </cfRule>
  </conditionalFormatting>
  <conditionalFormatting sqref="I61">
    <cfRule type="cellIs" dxfId="324" priority="576" operator="equal">
      <formula>"Green"</formula>
    </cfRule>
    <cfRule type="cellIs" dxfId="323" priority="577" operator="equal">
      <formula>"Yellow"</formula>
    </cfRule>
    <cfRule type="cellIs" dxfId="322" priority="578" operator="equal">
      <formula>"Orange"</formula>
    </cfRule>
    <cfRule type="cellIs" dxfId="321" priority="579" operator="equal">
      <formula>"Brown"</formula>
    </cfRule>
    <cfRule type="cellIs" dxfId="320" priority="580" operator="equal">
      <formula>"Red"</formula>
    </cfRule>
  </conditionalFormatting>
  <conditionalFormatting sqref="I62">
    <cfRule type="cellIs" dxfId="319" priority="571" operator="equal">
      <formula>"Green"</formula>
    </cfRule>
    <cfRule type="cellIs" dxfId="318" priority="572" operator="equal">
      <formula>"Yellow"</formula>
    </cfRule>
    <cfRule type="cellIs" dxfId="317" priority="573" operator="equal">
      <formula>"Orange"</formula>
    </cfRule>
    <cfRule type="cellIs" dxfId="316" priority="574" operator="equal">
      <formula>"Brown"</formula>
    </cfRule>
    <cfRule type="cellIs" dxfId="315" priority="575" operator="equal">
      <formula>"Red"</formula>
    </cfRule>
  </conditionalFormatting>
  <conditionalFormatting sqref="I63">
    <cfRule type="cellIs" dxfId="314" priority="566" operator="equal">
      <formula>"Green"</formula>
    </cfRule>
    <cfRule type="cellIs" dxfId="313" priority="567" operator="equal">
      <formula>"Yellow"</formula>
    </cfRule>
    <cfRule type="cellIs" dxfId="312" priority="568" operator="equal">
      <formula>"Orange"</formula>
    </cfRule>
    <cfRule type="cellIs" dxfId="311" priority="569" operator="equal">
      <formula>"Brown"</formula>
    </cfRule>
    <cfRule type="cellIs" dxfId="310" priority="570" operator="equal">
      <formula>"Red"</formula>
    </cfRule>
  </conditionalFormatting>
  <conditionalFormatting sqref="I64">
    <cfRule type="cellIs" dxfId="309" priority="561" operator="equal">
      <formula>"Green"</formula>
    </cfRule>
    <cfRule type="cellIs" dxfId="308" priority="562" operator="equal">
      <formula>"Yellow"</formula>
    </cfRule>
    <cfRule type="cellIs" dxfId="307" priority="563" operator="equal">
      <formula>"Orange"</formula>
    </cfRule>
    <cfRule type="cellIs" dxfId="306" priority="564" operator="equal">
      <formula>"Brown"</formula>
    </cfRule>
    <cfRule type="cellIs" dxfId="305" priority="565" operator="equal">
      <formula>"Red"</formula>
    </cfRule>
  </conditionalFormatting>
  <conditionalFormatting sqref="I65">
    <cfRule type="cellIs" dxfId="304" priority="556" operator="equal">
      <formula>"Green"</formula>
    </cfRule>
    <cfRule type="cellIs" dxfId="303" priority="557" operator="equal">
      <formula>"Yellow"</formula>
    </cfRule>
    <cfRule type="cellIs" dxfId="302" priority="558" operator="equal">
      <formula>"Orange"</formula>
    </cfRule>
    <cfRule type="cellIs" dxfId="301" priority="559" operator="equal">
      <formula>"Brown"</formula>
    </cfRule>
    <cfRule type="cellIs" dxfId="300" priority="560" operator="equal">
      <formula>"Red"</formula>
    </cfRule>
  </conditionalFormatting>
  <conditionalFormatting sqref="I66">
    <cfRule type="cellIs" dxfId="299" priority="551" operator="equal">
      <formula>"Green"</formula>
    </cfRule>
    <cfRule type="cellIs" dxfId="298" priority="552" operator="equal">
      <formula>"Yellow"</formula>
    </cfRule>
    <cfRule type="cellIs" dxfId="297" priority="553" operator="equal">
      <formula>"Orange"</formula>
    </cfRule>
    <cfRule type="cellIs" dxfId="296" priority="554" operator="equal">
      <formula>"Brown"</formula>
    </cfRule>
    <cfRule type="cellIs" dxfId="295" priority="555" operator="equal">
      <formula>"Red"</formula>
    </cfRule>
  </conditionalFormatting>
  <conditionalFormatting sqref="I67">
    <cfRule type="cellIs" dxfId="294" priority="546" operator="equal">
      <formula>"Green"</formula>
    </cfRule>
    <cfRule type="cellIs" dxfId="293" priority="547" operator="equal">
      <formula>"Yellow"</formula>
    </cfRule>
    <cfRule type="cellIs" dxfId="292" priority="548" operator="equal">
      <formula>"Orange"</formula>
    </cfRule>
    <cfRule type="cellIs" dxfId="291" priority="549" operator="equal">
      <formula>"Brown"</formula>
    </cfRule>
    <cfRule type="cellIs" dxfId="290" priority="550" operator="equal">
      <formula>"Red"</formula>
    </cfRule>
  </conditionalFormatting>
  <conditionalFormatting sqref="I68">
    <cfRule type="cellIs" dxfId="289" priority="541" operator="equal">
      <formula>"Green"</formula>
    </cfRule>
    <cfRule type="cellIs" dxfId="288" priority="542" operator="equal">
      <formula>"Yellow"</formula>
    </cfRule>
    <cfRule type="cellIs" dxfId="287" priority="543" operator="equal">
      <formula>"Orange"</formula>
    </cfRule>
    <cfRule type="cellIs" dxfId="286" priority="544" operator="equal">
      <formula>"Brown"</formula>
    </cfRule>
    <cfRule type="cellIs" dxfId="285" priority="545" operator="equal">
      <formula>"Red"</formula>
    </cfRule>
  </conditionalFormatting>
  <conditionalFormatting sqref="I69">
    <cfRule type="cellIs" dxfId="284" priority="536" operator="equal">
      <formula>"Green"</formula>
    </cfRule>
    <cfRule type="cellIs" dxfId="283" priority="537" operator="equal">
      <formula>"Yellow"</formula>
    </cfRule>
    <cfRule type="cellIs" dxfId="282" priority="538" operator="equal">
      <formula>"Orange"</formula>
    </cfRule>
    <cfRule type="cellIs" dxfId="281" priority="539" operator="equal">
      <formula>"Brown"</formula>
    </cfRule>
    <cfRule type="cellIs" dxfId="280" priority="540" operator="equal">
      <formula>"Red"</formula>
    </cfRule>
  </conditionalFormatting>
  <conditionalFormatting sqref="I70">
    <cfRule type="cellIs" dxfId="279" priority="531" operator="equal">
      <formula>"Green"</formula>
    </cfRule>
    <cfRule type="cellIs" dxfId="278" priority="532" operator="equal">
      <formula>"Yellow"</formula>
    </cfRule>
    <cfRule type="cellIs" dxfId="277" priority="533" operator="equal">
      <formula>"Orange"</formula>
    </cfRule>
    <cfRule type="cellIs" dxfId="276" priority="534" operator="equal">
      <formula>"Brown"</formula>
    </cfRule>
    <cfRule type="cellIs" dxfId="275" priority="535" operator="equal">
      <formula>"Red"</formula>
    </cfRule>
  </conditionalFormatting>
  <conditionalFormatting sqref="I71">
    <cfRule type="cellIs" dxfId="274" priority="526" operator="equal">
      <formula>"Green"</formula>
    </cfRule>
    <cfRule type="cellIs" dxfId="273" priority="527" operator="equal">
      <formula>"Yellow"</formula>
    </cfRule>
    <cfRule type="cellIs" dxfId="272" priority="528" operator="equal">
      <formula>"Orange"</formula>
    </cfRule>
    <cfRule type="cellIs" dxfId="271" priority="529" operator="equal">
      <formula>"Brown"</formula>
    </cfRule>
    <cfRule type="cellIs" dxfId="270" priority="530" operator="equal">
      <formula>"Red"</formula>
    </cfRule>
  </conditionalFormatting>
  <conditionalFormatting sqref="I72">
    <cfRule type="cellIs" dxfId="269" priority="521" operator="equal">
      <formula>"Green"</formula>
    </cfRule>
    <cfRule type="cellIs" dxfId="268" priority="522" operator="equal">
      <formula>"Yellow"</formula>
    </cfRule>
    <cfRule type="cellIs" dxfId="267" priority="523" operator="equal">
      <formula>"Orange"</formula>
    </cfRule>
    <cfRule type="cellIs" dxfId="266" priority="524" operator="equal">
      <formula>"Brown"</formula>
    </cfRule>
    <cfRule type="cellIs" dxfId="265" priority="525" operator="equal">
      <formula>"Red"</formula>
    </cfRule>
  </conditionalFormatting>
  <conditionalFormatting sqref="I73">
    <cfRule type="cellIs" dxfId="264" priority="516" operator="equal">
      <formula>"Green"</formula>
    </cfRule>
    <cfRule type="cellIs" dxfId="263" priority="517" operator="equal">
      <formula>"Yellow"</formula>
    </cfRule>
    <cfRule type="cellIs" dxfId="262" priority="518" operator="equal">
      <formula>"Orange"</formula>
    </cfRule>
    <cfRule type="cellIs" dxfId="261" priority="519" operator="equal">
      <formula>"Brown"</formula>
    </cfRule>
    <cfRule type="cellIs" dxfId="260" priority="520" operator="equal">
      <formula>"Red"</formula>
    </cfRule>
  </conditionalFormatting>
  <conditionalFormatting sqref="I74">
    <cfRule type="cellIs" dxfId="259" priority="511" operator="equal">
      <formula>"Green"</formula>
    </cfRule>
    <cfRule type="cellIs" dxfId="258" priority="512" operator="equal">
      <formula>"Yellow"</formula>
    </cfRule>
    <cfRule type="cellIs" dxfId="257" priority="513" operator="equal">
      <formula>"Orange"</formula>
    </cfRule>
    <cfRule type="cellIs" dxfId="256" priority="514" operator="equal">
      <formula>"Brown"</formula>
    </cfRule>
    <cfRule type="cellIs" dxfId="255" priority="515" operator="equal">
      <formula>"Red"</formula>
    </cfRule>
  </conditionalFormatting>
  <conditionalFormatting sqref="I75">
    <cfRule type="cellIs" dxfId="254" priority="506" operator="equal">
      <formula>"Green"</formula>
    </cfRule>
    <cfRule type="cellIs" dxfId="253" priority="507" operator="equal">
      <formula>"Yellow"</formula>
    </cfRule>
    <cfRule type="cellIs" dxfId="252" priority="508" operator="equal">
      <formula>"Orange"</formula>
    </cfRule>
    <cfRule type="cellIs" dxfId="251" priority="509" operator="equal">
      <formula>"Brown"</formula>
    </cfRule>
    <cfRule type="cellIs" dxfId="250" priority="510" operator="equal">
      <formula>"Red"</formula>
    </cfRule>
  </conditionalFormatting>
  <conditionalFormatting sqref="I76">
    <cfRule type="cellIs" dxfId="249" priority="501" operator="equal">
      <formula>"Green"</formula>
    </cfRule>
    <cfRule type="cellIs" dxfId="248" priority="502" operator="equal">
      <formula>"Yellow"</formula>
    </cfRule>
    <cfRule type="cellIs" dxfId="247" priority="503" operator="equal">
      <formula>"Orange"</formula>
    </cfRule>
    <cfRule type="cellIs" dxfId="246" priority="504" operator="equal">
      <formula>"Brown"</formula>
    </cfRule>
    <cfRule type="cellIs" dxfId="245" priority="505" operator="equal">
      <formula>"Red"</formula>
    </cfRule>
  </conditionalFormatting>
  <conditionalFormatting sqref="I77">
    <cfRule type="cellIs" dxfId="244" priority="496" operator="equal">
      <formula>"Green"</formula>
    </cfRule>
    <cfRule type="cellIs" dxfId="243" priority="497" operator="equal">
      <formula>"Yellow"</formula>
    </cfRule>
    <cfRule type="cellIs" dxfId="242" priority="498" operator="equal">
      <formula>"Orange"</formula>
    </cfRule>
    <cfRule type="cellIs" dxfId="241" priority="499" operator="equal">
      <formula>"Brown"</formula>
    </cfRule>
    <cfRule type="cellIs" dxfId="240" priority="500" operator="equal">
      <formula>"Red"</formula>
    </cfRule>
  </conditionalFormatting>
  <conditionalFormatting sqref="I78">
    <cfRule type="cellIs" dxfId="239" priority="491" operator="equal">
      <formula>"Green"</formula>
    </cfRule>
    <cfRule type="cellIs" dxfId="238" priority="492" operator="equal">
      <formula>"Yellow"</formula>
    </cfRule>
    <cfRule type="cellIs" dxfId="237" priority="493" operator="equal">
      <formula>"Orange"</formula>
    </cfRule>
    <cfRule type="cellIs" dxfId="236" priority="494" operator="equal">
      <formula>"Brown"</formula>
    </cfRule>
    <cfRule type="cellIs" dxfId="235" priority="495" operator="equal">
      <formula>"Red"</formula>
    </cfRule>
  </conditionalFormatting>
  <conditionalFormatting sqref="I79">
    <cfRule type="cellIs" dxfId="234" priority="486" operator="equal">
      <formula>"Green"</formula>
    </cfRule>
    <cfRule type="cellIs" dxfId="233" priority="487" operator="equal">
      <formula>"Yellow"</formula>
    </cfRule>
    <cfRule type="cellIs" dxfId="232" priority="488" operator="equal">
      <formula>"Orange"</formula>
    </cfRule>
    <cfRule type="cellIs" dxfId="231" priority="489" operator="equal">
      <formula>"Brown"</formula>
    </cfRule>
    <cfRule type="cellIs" dxfId="230" priority="490" operator="equal">
      <formula>"Red"</formula>
    </cfRule>
  </conditionalFormatting>
  <conditionalFormatting sqref="I80">
    <cfRule type="cellIs" dxfId="229" priority="481" operator="equal">
      <formula>"Green"</formula>
    </cfRule>
    <cfRule type="cellIs" dxfId="228" priority="482" operator="equal">
      <formula>"Yellow"</formula>
    </cfRule>
    <cfRule type="cellIs" dxfId="227" priority="483" operator="equal">
      <formula>"Orange"</formula>
    </cfRule>
    <cfRule type="cellIs" dxfId="226" priority="484" operator="equal">
      <formula>"Brown"</formula>
    </cfRule>
    <cfRule type="cellIs" dxfId="225" priority="485" operator="equal">
      <formula>"Red"</formula>
    </cfRule>
  </conditionalFormatting>
  <conditionalFormatting sqref="I81">
    <cfRule type="cellIs" dxfId="224" priority="476" operator="equal">
      <formula>"Green"</formula>
    </cfRule>
    <cfRule type="cellIs" dxfId="223" priority="477" operator="equal">
      <formula>"Yellow"</formula>
    </cfRule>
    <cfRule type="cellIs" dxfId="222" priority="478" operator="equal">
      <formula>"Orange"</formula>
    </cfRule>
    <cfRule type="cellIs" dxfId="221" priority="479" operator="equal">
      <formula>"Brown"</formula>
    </cfRule>
    <cfRule type="cellIs" dxfId="220" priority="480" operator="equal">
      <formula>"Red"</formula>
    </cfRule>
  </conditionalFormatting>
  <conditionalFormatting sqref="D61">
    <cfRule type="cellIs" dxfId="219" priority="471" operator="equal">
      <formula>"Green"</formula>
    </cfRule>
    <cfRule type="cellIs" dxfId="218" priority="472" operator="equal">
      <formula>"Yellow"</formula>
    </cfRule>
    <cfRule type="cellIs" dxfId="217" priority="473" operator="equal">
      <formula>"Orange"</formula>
    </cfRule>
    <cfRule type="cellIs" dxfId="216" priority="474" operator="equal">
      <formula>"Brown"</formula>
    </cfRule>
    <cfRule type="cellIs" dxfId="215" priority="475" operator="equal">
      <formula>"Red"</formula>
    </cfRule>
  </conditionalFormatting>
  <conditionalFormatting sqref="F61">
    <cfRule type="cellIs" dxfId="214" priority="466" operator="equal">
      <formula>"Green"</formula>
    </cfRule>
    <cfRule type="cellIs" dxfId="213" priority="467" operator="equal">
      <formula>"Yellow"</formula>
    </cfRule>
    <cfRule type="cellIs" dxfId="212" priority="468" operator="equal">
      <formula>"Orange"</formula>
    </cfRule>
    <cfRule type="cellIs" dxfId="211" priority="469" operator="equal">
      <formula>"Brown"</formula>
    </cfRule>
    <cfRule type="cellIs" dxfId="210" priority="470" operator="equal">
      <formula>"Red"</formula>
    </cfRule>
  </conditionalFormatting>
  <conditionalFormatting sqref="F62">
    <cfRule type="cellIs" dxfId="209" priority="461" operator="equal">
      <formula>"Green"</formula>
    </cfRule>
    <cfRule type="cellIs" dxfId="208" priority="462" operator="equal">
      <formula>"Yellow"</formula>
    </cfRule>
    <cfRule type="cellIs" dxfId="207" priority="463" operator="equal">
      <formula>"Orange"</formula>
    </cfRule>
    <cfRule type="cellIs" dxfId="206" priority="464" operator="equal">
      <formula>"Brown"</formula>
    </cfRule>
    <cfRule type="cellIs" dxfId="205" priority="465" operator="equal">
      <formula>"Red"</formula>
    </cfRule>
  </conditionalFormatting>
  <conditionalFormatting sqref="F63">
    <cfRule type="cellIs" dxfId="204" priority="456" operator="equal">
      <formula>"Green"</formula>
    </cfRule>
    <cfRule type="cellIs" dxfId="203" priority="457" operator="equal">
      <formula>"Yellow"</formula>
    </cfRule>
    <cfRule type="cellIs" dxfId="202" priority="458" operator="equal">
      <formula>"Orange"</formula>
    </cfRule>
    <cfRule type="cellIs" dxfId="201" priority="459" operator="equal">
      <formula>"Brown"</formula>
    </cfRule>
    <cfRule type="cellIs" dxfId="200" priority="460" operator="equal">
      <formula>"Red"</formula>
    </cfRule>
  </conditionalFormatting>
  <conditionalFormatting sqref="F64">
    <cfRule type="cellIs" dxfId="199" priority="451" operator="equal">
      <formula>"Green"</formula>
    </cfRule>
    <cfRule type="cellIs" dxfId="198" priority="452" operator="equal">
      <formula>"Yellow"</formula>
    </cfRule>
    <cfRule type="cellIs" dxfId="197" priority="453" operator="equal">
      <formula>"Orange"</formula>
    </cfRule>
    <cfRule type="cellIs" dxfId="196" priority="454" operator="equal">
      <formula>"Brown"</formula>
    </cfRule>
    <cfRule type="cellIs" dxfId="195" priority="455" operator="equal">
      <formula>"Red"</formula>
    </cfRule>
  </conditionalFormatting>
  <conditionalFormatting sqref="F65">
    <cfRule type="cellIs" dxfId="194" priority="446" operator="equal">
      <formula>"Green"</formula>
    </cfRule>
    <cfRule type="cellIs" dxfId="193" priority="447" operator="equal">
      <formula>"Yellow"</formula>
    </cfRule>
    <cfRule type="cellIs" dxfId="192" priority="448" operator="equal">
      <formula>"Orange"</formula>
    </cfRule>
    <cfRule type="cellIs" dxfId="191" priority="449" operator="equal">
      <formula>"Brown"</formula>
    </cfRule>
    <cfRule type="cellIs" dxfId="190" priority="450" operator="equal">
      <formula>"Red"</formula>
    </cfRule>
  </conditionalFormatting>
  <conditionalFormatting sqref="F66">
    <cfRule type="cellIs" dxfId="189" priority="441" operator="equal">
      <formula>"Green"</formula>
    </cfRule>
    <cfRule type="cellIs" dxfId="188" priority="442" operator="equal">
      <formula>"Yellow"</formula>
    </cfRule>
    <cfRule type="cellIs" dxfId="187" priority="443" operator="equal">
      <formula>"Orange"</formula>
    </cfRule>
    <cfRule type="cellIs" dxfId="186" priority="444" operator="equal">
      <formula>"Brown"</formula>
    </cfRule>
    <cfRule type="cellIs" dxfId="185" priority="445" operator="equal">
      <formula>"Red"</formula>
    </cfRule>
  </conditionalFormatting>
  <conditionalFormatting sqref="F67">
    <cfRule type="cellIs" dxfId="184" priority="436" operator="equal">
      <formula>"Green"</formula>
    </cfRule>
    <cfRule type="cellIs" dxfId="183" priority="437" operator="equal">
      <formula>"Yellow"</formula>
    </cfRule>
    <cfRule type="cellIs" dxfId="182" priority="438" operator="equal">
      <formula>"Orange"</formula>
    </cfRule>
    <cfRule type="cellIs" dxfId="181" priority="439" operator="equal">
      <formula>"Brown"</formula>
    </cfRule>
    <cfRule type="cellIs" dxfId="180" priority="440" operator="equal">
      <formula>"Red"</formula>
    </cfRule>
  </conditionalFormatting>
  <conditionalFormatting sqref="F68">
    <cfRule type="cellIs" dxfId="179" priority="431" operator="equal">
      <formula>"Green"</formula>
    </cfRule>
    <cfRule type="cellIs" dxfId="178" priority="432" operator="equal">
      <formula>"Yellow"</formula>
    </cfRule>
    <cfRule type="cellIs" dxfId="177" priority="433" operator="equal">
      <formula>"Orange"</formula>
    </cfRule>
    <cfRule type="cellIs" dxfId="176" priority="434" operator="equal">
      <formula>"Brown"</formula>
    </cfRule>
    <cfRule type="cellIs" dxfId="175" priority="435" operator="equal">
      <formula>"Red"</formula>
    </cfRule>
  </conditionalFormatting>
  <conditionalFormatting sqref="F69">
    <cfRule type="cellIs" dxfId="174" priority="426" operator="equal">
      <formula>"Green"</formula>
    </cfRule>
    <cfRule type="cellIs" dxfId="173" priority="427" operator="equal">
      <formula>"Yellow"</formula>
    </cfRule>
    <cfRule type="cellIs" dxfId="172" priority="428" operator="equal">
      <formula>"Orange"</formula>
    </cfRule>
    <cfRule type="cellIs" dxfId="171" priority="429" operator="equal">
      <formula>"Brown"</formula>
    </cfRule>
    <cfRule type="cellIs" dxfId="170" priority="430" operator="equal">
      <formula>"Red"</formula>
    </cfRule>
  </conditionalFormatting>
  <conditionalFormatting sqref="F70">
    <cfRule type="cellIs" dxfId="169" priority="421" operator="equal">
      <formula>"Green"</formula>
    </cfRule>
    <cfRule type="cellIs" dxfId="168" priority="422" operator="equal">
      <formula>"Yellow"</formula>
    </cfRule>
    <cfRule type="cellIs" dxfId="167" priority="423" operator="equal">
      <formula>"Orange"</formula>
    </cfRule>
    <cfRule type="cellIs" dxfId="166" priority="424" operator="equal">
      <formula>"Brown"</formula>
    </cfRule>
    <cfRule type="cellIs" dxfId="165" priority="425" operator="equal">
      <formula>"Red"</formula>
    </cfRule>
  </conditionalFormatting>
  <conditionalFormatting sqref="D62">
    <cfRule type="cellIs" dxfId="164" priority="416" operator="equal">
      <formula>"Green"</formula>
    </cfRule>
    <cfRule type="cellIs" dxfId="163" priority="417" operator="equal">
      <formula>"Yellow"</formula>
    </cfRule>
    <cfRule type="cellIs" dxfId="162" priority="418" operator="equal">
      <formula>"Orange"</formula>
    </cfRule>
    <cfRule type="cellIs" dxfId="161" priority="419" operator="equal">
      <formula>"Brown"</formula>
    </cfRule>
    <cfRule type="cellIs" dxfId="160" priority="420" operator="equal">
      <formula>"Red"</formula>
    </cfRule>
  </conditionalFormatting>
  <conditionalFormatting sqref="D63">
    <cfRule type="cellIs" dxfId="159" priority="411" operator="equal">
      <formula>"Green"</formula>
    </cfRule>
    <cfRule type="cellIs" dxfId="158" priority="412" operator="equal">
      <formula>"Yellow"</formula>
    </cfRule>
    <cfRule type="cellIs" dxfId="157" priority="413" operator="equal">
      <formula>"Orange"</formula>
    </cfRule>
    <cfRule type="cellIs" dxfId="156" priority="414" operator="equal">
      <formula>"Brown"</formula>
    </cfRule>
    <cfRule type="cellIs" dxfId="155" priority="415" operator="equal">
      <formula>"Red"</formula>
    </cfRule>
  </conditionalFormatting>
  <conditionalFormatting sqref="D64">
    <cfRule type="cellIs" dxfId="154" priority="406" operator="equal">
      <formula>"Green"</formula>
    </cfRule>
    <cfRule type="cellIs" dxfId="153" priority="407" operator="equal">
      <formula>"Yellow"</formula>
    </cfRule>
    <cfRule type="cellIs" dxfId="152" priority="408" operator="equal">
      <formula>"Orange"</formula>
    </cfRule>
    <cfRule type="cellIs" dxfId="151" priority="409" operator="equal">
      <formula>"Brown"</formula>
    </cfRule>
    <cfRule type="cellIs" dxfId="150" priority="410" operator="equal">
      <formula>"Red"</formula>
    </cfRule>
  </conditionalFormatting>
  <conditionalFormatting sqref="D65">
    <cfRule type="cellIs" dxfId="149" priority="401" operator="equal">
      <formula>"Green"</formula>
    </cfRule>
    <cfRule type="cellIs" dxfId="148" priority="402" operator="equal">
      <formula>"Yellow"</formula>
    </cfRule>
    <cfRule type="cellIs" dxfId="147" priority="403" operator="equal">
      <formula>"Orange"</formula>
    </cfRule>
    <cfRule type="cellIs" dxfId="146" priority="404" operator="equal">
      <formula>"Brown"</formula>
    </cfRule>
    <cfRule type="cellIs" dxfId="145" priority="405" operator="equal">
      <formula>"Red"</formula>
    </cfRule>
  </conditionalFormatting>
  <conditionalFormatting sqref="D66">
    <cfRule type="cellIs" dxfId="144" priority="396" operator="equal">
      <formula>"Green"</formula>
    </cfRule>
    <cfRule type="cellIs" dxfId="143" priority="397" operator="equal">
      <formula>"Yellow"</formula>
    </cfRule>
    <cfRule type="cellIs" dxfId="142" priority="398" operator="equal">
      <formula>"Orange"</formula>
    </cfRule>
    <cfRule type="cellIs" dxfId="141" priority="399" operator="equal">
      <formula>"Brown"</formula>
    </cfRule>
    <cfRule type="cellIs" dxfId="140" priority="400" operator="equal">
      <formula>"Red"</formula>
    </cfRule>
  </conditionalFormatting>
  <conditionalFormatting sqref="D67">
    <cfRule type="cellIs" dxfId="139" priority="391" operator="equal">
      <formula>"Green"</formula>
    </cfRule>
    <cfRule type="cellIs" dxfId="138" priority="392" operator="equal">
      <formula>"Yellow"</formula>
    </cfRule>
    <cfRule type="cellIs" dxfId="137" priority="393" operator="equal">
      <formula>"Orange"</formula>
    </cfRule>
    <cfRule type="cellIs" dxfId="136" priority="394" operator="equal">
      <formula>"Brown"</formula>
    </cfRule>
    <cfRule type="cellIs" dxfId="135" priority="395" operator="equal">
      <formula>"Red"</formula>
    </cfRule>
  </conditionalFormatting>
  <conditionalFormatting sqref="D68">
    <cfRule type="cellIs" dxfId="134" priority="386" operator="equal">
      <formula>"Green"</formula>
    </cfRule>
    <cfRule type="cellIs" dxfId="133" priority="387" operator="equal">
      <formula>"Yellow"</formula>
    </cfRule>
    <cfRule type="cellIs" dxfId="132" priority="388" operator="equal">
      <formula>"Orange"</formula>
    </cfRule>
    <cfRule type="cellIs" dxfId="131" priority="389" operator="equal">
      <formula>"Brown"</formula>
    </cfRule>
    <cfRule type="cellIs" dxfId="130" priority="390" operator="equal">
      <formula>"Red"</formula>
    </cfRule>
  </conditionalFormatting>
  <conditionalFormatting sqref="D69">
    <cfRule type="cellIs" dxfId="129" priority="381" operator="equal">
      <formula>"Green"</formula>
    </cfRule>
    <cfRule type="cellIs" dxfId="128" priority="382" operator="equal">
      <formula>"Yellow"</formula>
    </cfRule>
    <cfRule type="cellIs" dxfId="127" priority="383" operator="equal">
      <formula>"Orange"</formula>
    </cfRule>
    <cfRule type="cellIs" dxfId="126" priority="384" operator="equal">
      <formula>"Brown"</formula>
    </cfRule>
    <cfRule type="cellIs" dxfId="125" priority="385" operator="equal">
      <formula>"Red"</formula>
    </cfRule>
  </conditionalFormatting>
  <conditionalFormatting sqref="D70">
    <cfRule type="cellIs" dxfId="124" priority="376" operator="equal">
      <formula>"Green"</formula>
    </cfRule>
    <cfRule type="cellIs" dxfId="123" priority="377" operator="equal">
      <formula>"Yellow"</formula>
    </cfRule>
    <cfRule type="cellIs" dxfId="122" priority="378" operator="equal">
      <formula>"Orange"</formula>
    </cfRule>
    <cfRule type="cellIs" dxfId="121" priority="379" operator="equal">
      <formula>"Brown"</formula>
    </cfRule>
    <cfRule type="cellIs" dxfId="120" priority="380" operator="equal">
      <formula>"Red"</formula>
    </cfRule>
  </conditionalFormatting>
  <conditionalFormatting sqref="K61">
    <cfRule type="cellIs" dxfId="119" priority="371" operator="equal">
      <formula>"Green"</formula>
    </cfRule>
    <cfRule type="cellIs" dxfId="118" priority="372" operator="equal">
      <formula>"Yellow"</formula>
    </cfRule>
    <cfRule type="cellIs" dxfId="117" priority="373" operator="equal">
      <formula>"Orange"</formula>
    </cfRule>
    <cfRule type="cellIs" dxfId="116" priority="374" operator="equal">
      <formula>"Brown"</formula>
    </cfRule>
    <cfRule type="cellIs" dxfId="115" priority="375" operator="equal">
      <formula>"Red"</formula>
    </cfRule>
  </conditionalFormatting>
  <conditionalFormatting sqref="K62">
    <cfRule type="cellIs" dxfId="114" priority="366" operator="equal">
      <formula>"Green"</formula>
    </cfRule>
    <cfRule type="cellIs" dxfId="113" priority="367" operator="equal">
      <formula>"Yellow"</formula>
    </cfRule>
    <cfRule type="cellIs" dxfId="112" priority="368" operator="equal">
      <formula>"Orange"</formula>
    </cfRule>
    <cfRule type="cellIs" dxfId="111" priority="369" operator="equal">
      <formula>"Brown"</formula>
    </cfRule>
    <cfRule type="cellIs" dxfId="110" priority="370" operator="equal">
      <formula>"Red"</formula>
    </cfRule>
  </conditionalFormatting>
  <conditionalFormatting sqref="K63">
    <cfRule type="cellIs" dxfId="109" priority="361" operator="equal">
      <formula>"Green"</formula>
    </cfRule>
    <cfRule type="cellIs" dxfId="108" priority="362" operator="equal">
      <formula>"Yellow"</formula>
    </cfRule>
    <cfRule type="cellIs" dxfId="107" priority="363" operator="equal">
      <formula>"Orange"</formula>
    </cfRule>
    <cfRule type="cellIs" dxfId="106" priority="364" operator="equal">
      <formula>"Brown"</formula>
    </cfRule>
    <cfRule type="cellIs" dxfId="105" priority="365" operator="equal">
      <formula>"Red"</formula>
    </cfRule>
  </conditionalFormatting>
  <conditionalFormatting sqref="K64">
    <cfRule type="cellIs" dxfId="104" priority="356" operator="equal">
      <formula>"Green"</formula>
    </cfRule>
    <cfRule type="cellIs" dxfId="103" priority="357" operator="equal">
      <formula>"Yellow"</formula>
    </cfRule>
    <cfRule type="cellIs" dxfId="102" priority="358" operator="equal">
      <formula>"Orange"</formula>
    </cfRule>
    <cfRule type="cellIs" dxfId="101" priority="359" operator="equal">
      <formula>"Brown"</formula>
    </cfRule>
    <cfRule type="cellIs" dxfId="100" priority="360" operator="equal">
      <formula>"Red"</formula>
    </cfRule>
  </conditionalFormatting>
  <conditionalFormatting sqref="K65">
    <cfRule type="cellIs" dxfId="99" priority="351" operator="equal">
      <formula>"Green"</formula>
    </cfRule>
    <cfRule type="cellIs" dxfId="98" priority="352" operator="equal">
      <formula>"Yellow"</formula>
    </cfRule>
    <cfRule type="cellIs" dxfId="97" priority="353" operator="equal">
      <formula>"Orange"</formula>
    </cfRule>
    <cfRule type="cellIs" dxfId="96" priority="354" operator="equal">
      <formula>"Brown"</formula>
    </cfRule>
    <cfRule type="cellIs" dxfId="95" priority="355" operator="equal">
      <formula>"Red"</formula>
    </cfRule>
  </conditionalFormatting>
  <conditionalFormatting sqref="K66">
    <cfRule type="cellIs" dxfId="94" priority="346" operator="equal">
      <formula>"Green"</formula>
    </cfRule>
    <cfRule type="cellIs" dxfId="93" priority="347" operator="equal">
      <formula>"Yellow"</formula>
    </cfRule>
    <cfRule type="cellIs" dxfId="92" priority="348" operator="equal">
      <formula>"Orange"</formula>
    </cfRule>
    <cfRule type="cellIs" dxfId="91" priority="349" operator="equal">
      <formula>"Brown"</formula>
    </cfRule>
    <cfRule type="cellIs" dxfId="90" priority="350" operator="equal">
      <formula>"Red"</formula>
    </cfRule>
  </conditionalFormatting>
  <conditionalFormatting sqref="K67">
    <cfRule type="cellIs" dxfId="89" priority="341" operator="equal">
      <formula>"Green"</formula>
    </cfRule>
    <cfRule type="cellIs" dxfId="88" priority="342" operator="equal">
      <formula>"Yellow"</formula>
    </cfRule>
    <cfRule type="cellIs" dxfId="87" priority="343" operator="equal">
      <formula>"Orange"</formula>
    </cfRule>
    <cfRule type="cellIs" dxfId="86" priority="344" operator="equal">
      <formula>"Brown"</formula>
    </cfRule>
    <cfRule type="cellIs" dxfId="85" priority="345" operator="equal">
      <formula>"Red"</formula>
    </cfRule>
  </conditionalFormatting>
  <conditionalFormatting sqref="K68">
    <cfRule type="cellIs" dxfId="84" priority="336" operator="equal">
      <formula>"Green"</formula>
    </cfRule>
    <cfRule type="cellIs" dxfId="83" priority="337" operator="equal">
      <formula>"Yellow"</formula>
    </cfRule>
    <cfRule type="cellIs" dxfId="82" priority="338" operator="equal">
      <formula>"Orange"</formula>
    </cfRule>
    <cfRule type="cellIs" dxfId="81" priority="339" operator="equal">
      <formula>"Brown"</formula>
    </cfRule>
    <cfRule type="cellIs" dxfId="80" priority="340" operator="equal">
      <formula>"Red"</formula>
    </cfRule>
  </conditionalFormatting>
  <conditionalFormatting sqref="K69">
    <cfRule type="cellIs" dxfId="79" priority="331" operator="equal">
      <formula>"Green"</formula>
    </cfRule>
    <cfRule type="cellIs" dxfId="78" priority="332" operator="equal">
      <formula>"Yellow"</formula>
    </cfRule>
    <cfRule type="cellIs" dxfId="77" priority="333" operator="equal">
      <formula>"Orange"</formula>
    </cfRule>
    <cfRule type="cellIs" dxfId="76" priority="334" operator="equal">
      <formula>"Brown"</formula>
    </cfRule>
    <cfRule type="cellIs" dxfId="75" priority="335" operator="equal">
      <formula>"Red"</formula>
    </cfRule>
  </conditionalFormatting>
  <conditionalFormatting sqref="K70">
    <cfRule type="cellIs" dxfId="74" priority="326" operator="equal">
      <formula>"Green"</formula>
    </cfRule>
    <cfRule type="cellIs" dxfId="73" priority="327" operator="equal">
      <formula>"Yellow"</formula>
    </cfRule>
    <cfRule type="cellIs" dxfId="72" priority="328" operator="equal">
      <formula>"Orange"</formula>
    </cfRule>
    <cfRule type="cellIs" dxfId="71" priority="329" operator="equal">
      <formula>"Brown"</formula>
    </cfRule>
    <cfRule type="cellIs" dxfId="70" priority="330" operator="equal">
      <formula>"Red"</formula>
    </cfRule>
  </conditionalFormatting>
  <conditionalFormatting sqref="D87">
    <cfRule type="cellIs" dxfId="69" priority="321" operator="equal">
      <formula>"Green"</formula>
    </cfRule>
    <cfRule type="cellIs" dxfId="68" priority="322" operator="equal">
      <formula>"Yellow"</formula>
    </cfRule>
    <cfRule type="cellIs" dxfId="67" priority="323" operator="equal">
      <formula>"Orange"</formula>
    </cfRule>
    <cfRule type="cellIs" dxfId="66" priority="324" operator="equal">
      <formula>"Brown"</formula>
    </cfRule>
    <cfRule type="cellIs" dxfId="65" priority="325" operator="equal">
      <formula>"Red"</formula>
    </cfRule>
  </conditionalFormatting>
  <conditionalFormatting sqref="I87">
    <cfRule type="cellIs" dxfId="64" priority="316" operator="equal">
      <formula>"Green"</formula>
    </cfRule>
    <cfRule type="cellIs" dxfId="63" priority="317" operator="equal">
      <formula>"Yellow"</formula>
    </cfRule>
    <cfRule type="cellIs" dxfId="62" priority="318" operator="equal">
      <formula>"Orange"</formula>
    </cfRule>
    <cfRule type="cellIs" dxfId="61" priority="319" operator="equal">
      <formula>"Brown"</formula>
    </cfRule>
    <cfRule type="cellIs" dxfId="60" priority="320" operator="equal">
      <formula>"Red"</formula>
    </cfRule>
  </conditionalFormatting>
  <conditionalFormatting sqref="I88">
    <cfRule type="cellIs" dxfId="59" priority="311" operator="equal">
      <formula>"Green"</formula>
    </cfRule>
    <cfRule type="cellIs" dxfId="58" priority="312" operator="equal">
      <formula>"Yellow"</formula>
    </cfRule>
    <cfRule type="cellIs" dxfId="57" priority="313" operator="equal">
      <formula>"Orange"</formula>
    </cfRule>
    <cfRule type="cellIs" dxfId="56" priority="314" operator="equal">
      <formula>"Brown"</formula>
    </cfRule>
    <cfRule type="cellIs" dxfId="55" priority="315" operator="equal">
      <formula>"Red"</formula>
    </cfRule>
  </conditionalFormatting>
  <conditionalFormatting sqref="I89">
    <cfRule type="cellIs" dxfId="54" priority="306" operator="equal">
      <formula>"Green"</formula>
    </cfRule>
    <cfRule type="cellIs" dxfId="53" priority="307" operator="equal">
      <formula>"Yellow"</formula>
    </cfRule>
    <cfRule type="cellIs" dxfId="52" priority="308" operator="equal">
      <formula>"Orange"</formula>
    </cfRule>
    <cfRule type="cellIs" dxfId="51" priority="309" operator="equal">
      <formula>"Brown"</formula>
    </cfRule>
    <cfRule type="cellIs" dxfId="50" priority="310" operator="equal">
      <formula>"Red"</formula>
    </cfRule>
  </conditionalFormatting>
  <conditionalFormatting sqref="I90">
    <cfRule type="cellIs" dxfId="49" priority="301" operator="equal">
      <formula>"Green"</formula>
    </cfRule>
    <cfRule type="cellIs" dxfId="48" priority="302" operator="equal">
      <formula>"Yellow"</formula>
    </cfRule>
    <cfRule type="cellIs" dxfId="47" priority="303" operator="equal">
      <formula>"Orange"</formula>
    </cfRule>
    <cfRule type="cellIs" dxfId="46" priority="304" operator="equal">
      <formula>"Brown"</formula>
    </cfRule>
    <cfRule type="cellIs" dxfId="45" priority="305" operator="equal">
      <formula>"Red"</formula>
    </cfRule>
  </conditionalFormatting>
  <conditionalFormatting sqref="F88:H90">
    <cfRule type="cellIs" dxfId="44" priority="295" operator="equal">
      <formula>"Green"</formula>
    </cfRule>
    <cfRule type="cellIs" dxfId="43" priority="296" operator="equal">
      <formula>"Yellow"</formula>
    </cfRule>
    <cfRule type="cellIs" dxfId="42" priority="297" operator="equal">
      <formula>"Orange"</formula>
    </cfRule>
    <cfRule type="cellIs" dxfId="41" priority="298" operator="equal">
      <formula>"Brown"</formula>
    </cfRule>
    <cfRule type="cellIs" dxfId="40" priority="299" operator="equal">
      <formula>"Red"</formula>
    </cfRule>
    <cfRule type="cellIs" dxfId="39" priority="300" operator="equal">
      <formula>"D Red"</formula>
    </cfRule>
  </conditionalFormatting>
  <conditionalFormatting sqref="I22:M32">
    <cfRule type="cellIs" dxfId="38" priority="31" operator="equal">
      <formula>"Green"</formula>
    </cfRule>
    <cfRule type="cellIs" dxfId="37" priority="32" operator="equal">
      <formula>"Yellow"</formula>
    </cfRule>
    <cfRule type="cellIs" dxfId="36" priority="33" operator="equal">
      <formula>"Orange"</formula>
    </cfRule>
    <cfRule type="cellIs" dxfId="35" priority="34" operator="equal">
      <formula>"Brown"</formula>
    </cfRule>
    <cfRule type="cellIs" dxfId="34" priority="35" operator="equal">
      <formula>"Red"</formula>
    </cfRule>
    <cfRule type="cellIs" dxfId="33" priority="36" operator="equal">
      <formula>"D Red"</formula>
    </cfRule>
  </conditionalFormatting>
  <conditionalFormatting sqref="D36:H46">
    <cfRule type="cellIs" dxfId="32" priority="25" operator="equal">
      <formula>"Green"</formula>
    </cfRule>
    <cfRule type="cellIs" dxfId="31" priority="26" operator="equal">
      <formula>"Yellow"</formula>
    </cfRule>
    <cfRule type="cellIs" dxfId="30" priority="27" operator="equal">
      <formula>"Orange"</formula>
    </cfRule>
    <cfRule type="cellIs" dxfId="29" priority="28" operator="equal">
      <formula>"Brown"</formula>
    </cfRule>
    <cfRule type="cellIs" dxfId="28" priority="29" operator="equal">
      <formula>"Red"</formula>
    </cfRule>
    <cfRule type="cellIs" dxfId="27" priority="30" operator="equal">
      <formula>"D Red"</formula>
    </cfRule>
  </conditionalFormatting>
  <conditionalFormatting sqref="I40:M46">
    <cfRule type="cellIs" dxfId="26" priority="19" operator="equal">
      <formula>"Green"</formula>
    </cfRule>
    <cfRule type="cellIs" dxfId="25" priority="20" operator="equal">
      <formula>"Yellow"</formula>
    </cfRule>
    <cfRule type="cellIs" dxfId="24" priority="21" operator="equal">
      <formula>"Orange"</formula>
    </cfRule>
    <cfRule type="cellIs" dxfId="23" priority="22" operator="equal">
      <formula>"Brown"</formula>
    </cfRule>
    <cfRule type="cellIs" dxfId="22" priority="23" operator="equal">
      <formula>"Red"</formula>
    </cfRule>
    <cfRule type="cellIs" dxfId="21" priority="24" operator="equal">
      <formula>"D Red"</formula>
    </cfRule>
  </conditionalFormatting>
  <conditionalFormatting sqref="D55:E56">
    <cfRule type="cellIs" dxfId="20" priority="13" operator="equal">
      <formula>"AEB"</formula>
    </cfRule>
    <cfRule type="cellIs" dxfId="19" priority="14" operator="equal">
      <formula>"Green"</formula>
    </cfRule>
    <cfRule type="cellIs" dxfId="18" priority="15" operator="equal">
      <formula>"Yellow"</formula>
    </cfRule>
    <cfRule type="cellIs" dxfId="17" priority="16" operator="equal">
      <formula>"Orange"</formula>
    </cfRule>
    <cfRule type="cellIs" dxfId="16" priority="17" operator="equal">
      <formula>"Brown"</formula>
    </cfRule>
    <cfRule type="cellIs" dxfId="15" priority="18" operator="equal">
      <formula>"Red"</formula>
    </cfRule>
  </conditionalFormatting>
  <conditionalFormatting sqref="I52:J53">
    <cfRule type="cellIs" dxfId="14" priority="7" operator="equal">
      <formula>"AEB"</formula>
    </cfRule>
    <cfRule type="cellIs" dxfId="13" priority="8" operator="equal">
      <formula>"Green"</formula>
    </cfRule>
    <cfRule type="cellIs" dxfId="12" priority="9" operator="equal">
      <formula>"Yellow"</formula>
    </cfRule>
    <cfRule type="cellIs" dxfId="11" priority="10" operator="equal">
      <formula>"Orange"</formula>
    </cfRule>
    <cfRule type="cellIs" dxfId="10" priority="11" operator="equal">
      <formula>"Brown"</formula>
    </cfRule>
    <cfRule type="cellIs" dxfId="9" priority="12" operator="equal">
      <formula>"Red"</formula>
    </cfRule>
  </conditionalFormatting>
  <conditionalFormatting sqref="I55:J56">
    <cfRule type="cellIs" dxfId="8" priority="1" operator="equal">
      <formula>"AEB"</formula>
    </cfRule>
    <cfRule type="cellIs" dxfId="7" priority="2" operator="equal">
      <formula>"Green"</formula>
    </cfRule>
    <cfRule type="cellIs" dxfId="6" priority="3" operator="equal">
      <formula>"Yellow"</formula>
    </cfRule>
    <cfRule type="cellIs" dxfId="5" priority="4" operator="equal">
      <formula>"Orange"</formula>
    </cfRule>
    <cfRule type="cellIs" dxfId="4" priority="5" operator="equal">
      <formula>"Brown"</formula>
    </cfRule>
    <cfRule type="cellIs" dxfId="3" priority="6" operator="equal">
      <formula>"Red"</formula>
    </cfRule>
  </conditionalFormatting>
  <dataValidations count="4">
    <dataValidation type="list" allowBlank="1" showInputMessage="1" showErrorMessage="1" sqref="F88:H90" xr:uid="{89119FBF-11E6-4E27-BD07-75334026FAF8}">
      <formula1>"Green,Red"</formula1>
    </dataValidation>
    <dataValidation allowBlank="1" showErrorMessage="1" sqref="D107:M108 D110:M110 D109" xr:uid="{AE9E56D7-3D2E-49B5-9031-EF8236DEDEE5}"/>
    <dataValidation type="list" allowBlank="1" showInputMessage="1" showErrorMessage="1" sqref="J61:J80" xr:uid="{1C57AD5C-E886-4658-8D33-1F6753CD0481}">
      <formula1>"YES,NO"</formula1>
    </dataValidation>
    <dataValidation allowBlank="1" showInputMessage="1" showErrorMessage="1" promptTitle="Format" prompt="CCRx,Speed,Overlap e.g_x000a_CCRs,65,-75" sqref="D61:E80 I61:I80" xr:uid="{A55A64AE-54E9-4E26-AC5D-AFCD64DDA069}"/>
  </dataValidations>
  <pageMargins left="0.8" right="0.44" top="0.53" bottom="1" header="0.5" footer="0.5"/>
  <pageSetup paperSize="9" scale="51"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9D5962-174F-4A06-9725-F7DA03B290FB}">
  <sheetPr codeName="Sheet5">
    <tabColor rgb="FF7030A0"/>
    <pageSetUpPr fitToPage="1"/>
  </sheetPr>
  <dimension ref="A1:T73"/>
  <sheetViews>
    <sheetView showGridLines="0" topLeftCell="A38" zoomScale="90" zoomScaleNormal="90" workbookViewId="0">
      <selection activeCell="W13" sqref="W13"/>
    </sheetView>
  </sheetViews>
  <sheetFormatPr defaultColWidth="8.7109375" defaultRowHeight="12.75"/>
  <cols>
    <col min="1" max="2" width="8.7109375" style="28"/>
    <col min="3" max="3" width="40.42578125" style="28" customWidth="1"/>
    <col min="4" max="15" width="5.7109375" style="28" customWidth="1"/>
    <col min="16" max="16" width="2" style="28" hidden="1" customWidth="1"/>
    <col min="17" max="16384" width="8.7109375" style="28"/>
  </cols>
  <sheetData>
    <row r="1" spans="1:20" ht="13.5" thickBot="1">
      <c r="A1" s="27">
        <v>3</v>
      </c>
      <c r="Q1" s="69"/>
      <c r="R1" s="69"/>
      <c r="S1" s="69"/>
      <c r="T1" s="69"/>
    </row>
    <row r="2" spans="1:20" s="30" customFormat="1" ht="13.15" customHeight="1">
      <c r="B2" s="463" t="s">
        <v>129</v>
      </c>
      <c r="C2" s="464"/>
      <c r="D2" s="467"/>
      <c r="E2" s="471"/>
      <c r="F2" s="471"/>
      <c r="G2" s="471"/>
      <c r="H2" s="471"/>
      <c r="I2" s="471"/>
      <c r="J2" s="471"/>
      <c r="K2" s="471"/>
      <c r="L2" s="471"/>
      <c r="M2" s="471"/>
      <c r="N2" s="471"/>
      <c r="O2" s="472"/>
      <c r="Q2" s="342"/>
      <c r="R2" s="69"/>
      <c r="S2" s="342"/>
      <c r="T2" s="342"/>
    </row>
    <row r="3" spans="1:20" s="30" customFormat="1" ht="15" customHeight="1">
      <c r="B3" s="465"/>
      <c r="C3" s="466"/>
      <c r="D3" s="469"/>
      <c r="E3" s="473"/>
      <c r="F3" s="473"/>
      <c r="G3" s="473"/>
      <c r="H3" s="473"/>
      <c r="I3" s="473"/>
      <c r="J3" s="473"/>
      <c r="K3" s="473"/>
      <c r="L3" s="473"/>
      <c r="M3" s="473"/>
      <c r="N3" s="473"/>
      <c r="O3" s="474"/>
      <c r="Q3" s="342"/>
      <c r="R3" s="69"/>
      <c r="S3" s="342"/>
      <c r="T3" s="342"/>
    </row>
    <row r="4" spans="1:20" ht="15" customHeight="1" thickBot="1">
      <c r="B4" s="475"/>
      <c r="C4" s="476"/>
      <c r="D4" s="676"/>
      <c r="E4" s="677"/>
      <c r="F4" s="677"/>
      <c r="G4" s="677"/>
      <c r="H4" s="677"/>
      <c r="I4" s="677"/>
      <c r="J4" s="677"/>
      <c r="K4" s="677"/>
      <c r="L4" s="677"/>
      <c r="M4" s="677"/>
      <c r="N4" s="677"/>
      <c r="O4" s="678"/>
      <c r="Q4" s="69"/>
      <c r="R4" s="69"/>
      <c r="S4" s="69"/>
      <c r="T4" s="69"/>
    </row>
    <row r="5" spans="1:20" s="29" customFormat="1" ht="15" customHeight="1">
      <c r="A5" s="28"/>
      <c r="B5" s="33" t="s">
        <v>29</v>
      </c>
      <c r="C5" s="63"/>
      <c r="D5" s="477"/>
      <c r="E5" s="478"/>
      <c r="F5" s="478"/>
      <c r="G5" s="478"/>
      <c r="H5" s="478"/>
      <c r="I5" s="478"/>
      <c r="J5" s="478"/>
      <c r="K5" s="478"/>
      <c r="L5" s="478"/>
      <c r="M5" s="478"/>
      <c r="N5" s="478"/>
      <c r="O5" s="479"/>
      <c r="Q5" s="375"/>
      <c r="R5" s="69"/>
      <c r="S5" s="375"/>
      <c r="T5" s="375"/>
    </row>
    <row r="6" spans="1:20" s="29" customFormat="1" ht="15" customHeight="1">
      <c r="A6" s="28"/>
      <c r="B6" s="31"/>
      <c r="C6" s="64" t="s">
        <v>105</v>
      </c>
      <c r="D6" s="489"/>
      <c r="E6" s="490"/>
      <c r="F6" s="490"/>
      <c r="G6" s="490"/>
      <c r="H6" s="490"/>
      <c r="I6" s="490"/>
      <c r="J6" s="490"/>
      <c r="K6" s="490"/>
      <c r="L6" s="490"/>
      <c r="M6" s="490"/>
      <c r="N6" s="490"/>
      <c r="O6" s="491"/>
      <c r="P6" s="29">
        <f>D6</f>
        <v>0</v>
      </c>
      <c r="Q6" s="375"/>
      <c r="R6" s="69"/>
      <c r="S6" s="375"/>
      <c r="T6" s="375"/>
    </row>
    <row r="7" spans="1:20" s="29" customFormat="1" ht="15" customHeight="1">
      <c r="A7" s="28"/>
      <c r="B7" s="31"/>
      <c r="C7" s="64" t="s">
        <v>130</v>
      </c>
      <c r="D7" s="489"/>
      <c r="E7" s="490"/>
      <c r="F7" s="490"/>
      <c r="G7" s="490"/>
      <c r="H7" s="490"/>
      <c r="I7" s="490"/>
      <c r="J7" s="490"/>
      <c r="K7" s="490"/>
      <c r="L7" s="490"/>
      <c r="M7" s="490"/>
      <c r="N7" s="490"/>
      <c r="O7" s="491"/>
      <c r="Q7" s="375"/>
      <c r="R7" s="69"/>
      <c r="S7" s="375"/>
      <c r="T7" s="375"/>
    </row>
    <row r="8" spans="1:20" s="29" customFormat="1" ht="15" customHeight="1">
      <c r="A8" s="28"/>
      <c r="B8" s="31"/>
      <c r="C8" s="64" t="s">
        <v>30</v>
      </c>
      <c r="D8" s="489"/>
      <c r="E8" s="490"/>
      <c r="F8" s="490"/>
      <c r="G8" s="490"/>
      <c r="H8" s="490"/>
      <c r="I8" s="490"/>
      <c r="J8" s="490"/>
      <c r="K8" s="490"/>
      <c r="L8" s="490"/>
      <c r="M8" s="490"/>
      <c r="N8" s="490"/>
      <c r="O8" s="491"/>
      <c r="Q8" s="375"/>
      <c r="R8" s="69"/>
      <c r="S8" s="375"/>
      <c r="T8" s="375"/>
    </row>
    <row r="9" spans="1:20" s="29" customFormat="1" ht="15" customHeight="1">
      <c r="A9" s="28"/>
      <c r="B9" s="31"/>
      <c r="C9" s="64" t="s">
        <v>47</v>
      </c>
      <c r="D9" s="670"/>
      <c r="E9" s="671"/>
      <c r="F9" s="671"/>
      <c r="G9" s="671"/>
      <c r="H9" s="671"/>
      <c r="I9" s="671"/>
      <c r="J9" s="671"/>
      <c r="K9" s="671"/>
      <c r="L9" s="671"/>
      <c r="M9" s="671"/>
      <c r="N9" s="671"/>
      <c r="O9" s="672"/>
      <c r="P9" s="29">
        <f>D9</f>
        <v>0</v>
      </c>
      <c r="Q9" s="375"/>
      <c r="R9" s="69"/>
      <c r="S9" s="375"/>
      <c r="T9" s="375"/>
    </row>
    <row r="10" spans="1:20" s="29" customFormat="1" ht="15" customHeight="1" thickBot="1">
      <c r="A10" s="28"/>
      <c r="B10" s="38"/>
      <c r="C10" s="65" t="s">
        <v>31</v>
      </c>
      <c r="D10" s="673"/>
      <c r="E10" s="674"/>
      <c r="F10" s="674"/>
      <c r="G10" s="674"/>
      <c r="H10" s="674"/>
      <c r="I10" s="674"/>
      <c r="J10" s="674"/>
      <c r="K10" s="674"/>
      <c r="L10" s="674"/>
      <c r="M10" s="674"/>
      <c r="N10" s="674"/>
      <c r="O10" s="675"/>
      <c r="P10" s="29">
        <f>D10</f>
        <v>0</v>
      </c>
      <c r="Q10" s="375"/>
      <c r="R10" s="69"/>
      <c r="S10" s="375"/>
      <c r="T10" s="375"/>
    </row>
    <row r="11" spans="1:20" s="29" customFormat="1" ht="15" customHeight="1" thickBot="1">
      <c r="A11" s="28"/>
      <c r="B11" s="546"/>
      <c r="C11" s="546"/>
      <c r="D11" s="546"/>
      <c r="E11" s="546"/>
      <c r="F11" s="546"/>
      <c r="G11" s="546"/>
      <c r="H11" s="546"/>
      <c r="I11" s="546"/>
      <c r="J11" s="546"/>
      <c r="K11" s="546"/>
      <c r="L11" s="546"/>
      <c r="M11" s="546"/>
      <c r="N11" s="546"/>
      <c r="O11" s="546"/>
      <c r="Q11" s="375"/>
      <c r="R11" s="69"/>
      <c r="S11" s="375"/>
      <c r="T11" s="375"/>
    </row>
    <row r="12" spans="1:20" s="29" customFormat="1" ht="15" customHeight="1">
      <c r="A12" s="28"/>
      <c r="B12" s="33" t="s">
        <v>70</v>
      </c>
      <c r="C12" s="34"/>
      <c r="D12" s="477"/>
      <c r="E12" s="478"/>
      <c r="F12" s="478"/>
      <c r="G12" s="478"/>
      <c r="H12" s="478"/>
      <c r="I12" s="478"/>
      <c r="J12" s="478"/>
      <c r="K12" s="478"/>
      <c r="L12" s="478"/>
      <c r="M12" s="478"/>
      <c r="N12" s="478"/>
      <c r="O12" s="479"/>
      <c r="Q12" s="375"/>
      <c r="R12" s="69"/>
      <c r="S12" s="375"/>
      <c r="T12" s="375"/>
    </row>
    <row r="13" spans="1:20" s="29" customFormat="1" ht="15" customHeight="1" thickBot="1">
      <c r="A13" s="28"/>
      <c r="B13" s="31"/>
      <c r="C13" s="32" t="s">
        <v>72</v>
      </c>
      <c r="D13" s="673" t="s">
        <v>770</v>
      </c>
      <c r="E13" s="674"/>
      <c r="F13" s="674"/>
      <c r="G13" s="674"/>
      <c r="H13" s="674"/>
      <c r="I13" s="674"/>
      <c r="J13" s="674"/>
      <c r="K13" s="674"/>
      <c r="L13" s="674"/>
      <c r="M13" s="674"/>
      <c r="N13" s="674"/>
      <c r="O13" s="675"/>
      <c r="Q13" s="375"/>
      <c r="R13" s="69"/>
      <c r="S13" s="375"/>
      <c r="T13" s="375"/>
    </row>
    <row r="14" spans="1:20" s="29" customFormat="1" ht="15" customHeight="1" thickBot="1">
      <c r="A14" s="28"/>
      <c r="B14" s="480" t="s">
        <v>70</v>
      </c>
      <c r="C14" s="481"/>
      <c r="D14" s="604" t="str">
        <f>IF(AND(D13="YES"),"PASS","FAIL")</f>
        <v>PASS</v>
      </c>
      <c r="E14" s="605"/>
      <c r="F14" s="605"/>
      <c r="G14" s="605"/>
      <c r="H14" s="605"/>
      <c r="I14" s="605"/>
      <c r="J14" s="605"/>
      <c r="K14" s="605"/>
      <c r="L14" s="605"/>
      <c r="M14" s="605"/>
      <c r="N14" s="605"/>
      <c r="O14" s="606"/>
      <c r="Q14" s="375"/>
      <c r="R14" s="69"/>
      <c r="S14" s="375"/>
      <c r="T14" s="375"/>
    </row>
    <row r="15" spans="1:20" s="29" customFormat="1" ht="15" customHeight="1" thickBot="1">
      <c r="A15" s="28"/>
      <c r="B15" s="546"/>
      <c r="C15" s="546"/>
      <c r="D15" s="546"/>
      <c r="E15" s="546"/>
      <c r="F15" s="546"/>
      <c r="G15" s="546"/>
      <c r="H15" s="546"/>
      <c r="I15" s="546"/>
      <c r="J15" s="546"/>
      <c r="K15" s="546"/>
      <c r="L15" s="546"/>
      <c r="M15" s="546"/>
      <c r="N15" s="546"/>
      <c r="O15" s="546"/>
      <c r="Q15" s="375"/>
      <c r="R15" s="69"/>
      <c r="S15" s="375"/>
      <c r="T15" s="375"/>
    </row>
    <row r="16" spans="1:20" s="29" customFormat="1" ht="15" customHeight="1">
      <c r="A16" s="28"/>
      <c r="B16" s="33" t="s">
        <v>131</v>
      </c>
      <c r="C16" s="34"/>
      <c r="D16" s="477"/>
      <c r="E16" s="478"/>
      <c r="F16" s="478"/>
      <c r="G16" s="478"/>
      <c r="H16" s="478"/>
      <c r="I16" s="478"/>
      <c r="J16" s="478"/>
      <c r="K16" s="478"/>
      <c r="L16" s="478"/>
      <c r="M16" s="478"/>
      <c r="N16" s="478"/>
      <c r="O16" s="479"/>
      <c r="Q16" s="375"/>
      <c r="R16" s="69"/>
      <c r="S16" s="375"/>
      <c r="T16" s="375"/>
    </row>
    <row r="17" spans="1:20" s="29" customFormat="1" ht="15" customHeight="1">
      <c r="A17" s="28"/>
      <c r="B17" s="31"/>
      <c r="C17" s="35" t="s">
        <v>132</v>
      </c>
      <c r="D17" s="684" t="s">
        <v>133</v>
      </c>
      <c r="E17" s="685"/>
      <c r="F17" s="686"/>
      <c r="G17" s="687" t="s">
        <v>708</v>
      </c>
      <c r="H17" s="685"/>
      <c r="I17" s="686"/>
      <c r="J17" s="687" t="s">
        <v>709</v>
      </c>
      <c r="K17" s="685"/>
      <c r="L17" s="686"/>
      <c r="M17" s="685" t="s">
        <v>710</v>
      </c>
      <c r="N17" s="685"/>
      <c r="O17" s="688"/>
      <c r="Q17" s="375"/>
      <c r="R17" s="69"/>
      <c r="S17" s="375"/>
      <c r="T17" s="375"/>
    </row>
    <row r="18" spans="1:20" s="29" customFormat="1" ht="15" customHeight="1">
      <c r="A18" s="28"/>
      <c r="B18" s="68"/>
      <c r="C18" s="58">
        <v>0.2</v>
      </c>
      <c r="D18" s="679" t="s">
        <v>773</v>
      </c>
      <c r="E18" s="680"/>
      <c r="F18" s="681"/>
      <c r="G18" s="682" t="s">
        <v>814</v>
      </c>
      <c r="H18" s="680"/>
      <c r="I18" s="681"/>
      <c r="J18" s="682" t="s">
        <v>814</v>
      </c>
      <c r="K18" s="680"/>
      <c r="L18" s="681"/>
      <c r="M18" s="680" t="s">
        <v>814</v>
      </c>
      <c r="N18" s="680"/>
      <c r="O18" s="683"/>
      <c r="Q18" s="377"/>
      <c r="R18" s="69"/>
      <c r="S18" s="375"/>
      <c r="T18" s="375"/>
    </row>
    <row r="19" spans="1:20" s="29" customFormat="1" ht="15" customHeight="1">
      <c r="A19" s="28"/>
      <c r="B19" s="68"/>
      <c r="C19" s="58">
        <v>0.3</v>
      </c>
      <c r="D19" s="679" t="s">
        <v>774</v>
      </c>
      <c r="E19" s="680"/>
      <c r="F19" s="681"/>
      <c r="G19" s="682" t="s">
        <v>814</v>
      </c>
      <c r="H19" s="680"/>
      <c r="I19" s="681"/>
      <c r="J19" s="682" t="s">
        <v>814</v>
      </c>
      <c r="K19" s="680"/>
      <c r="L19" s="681"/>
      <c r="M19" s="680" t="s">
        <v>814</v>
      </c>
      <c r="N19" s="680"/>
      <c r="O19" s="683"/>
      <c r="Q19" s="375"/>
      <c r="R19" s="69"/>
      <c r="S19" s="375"/>
      <c r="T19" s="375"/>
    </row>
    <row r="20" spans="1:20" s="29" customFormat="1" ht="15" customHeight="1">
      <c r="A20" s="28"/>
      <c r="B20" s="68"/>
      <c r="C20" s="58">
        <v>0.4</v>
      </c>
      <c r="D20" s="679" t="s">
        <v>775</v>
      </c>
      <c r="E20" s="680"/>
      <c r="F20" s="681"/>
      <c r="G20" s="682" t="s">
        <v>814</v>
      </c>
      <c r="H20" s="680"/>
      <c r="I20" s="681"/>
      <c r="J20" s="682" t="s">
        <v>814</v>
      </c>
      <c r="K20" s="680"/>
      <c r="L20" s="681"/>
      <c r="M20" s="680" t="s">
        <v>814</v>
      </c>
      <c r="N20" s="680"/>
      <c r="O20" s="683"/>
      <c r="Q20" s="375"/>
      <c r="R20" s="69"/>
      <c r="S20" s="375"/>
      <c r="T20" s="375"/>
    </row>
    <row r="21" spans="1:20" s="29" customFormat="1" ht="15" customHeight="1" thickBot="1">
      <c r="A21" s="28"/>
      <c r="B21" s="68"/>
      <c r="C21" s="58">
        <v>0.5</v>
      </c>
      <c r="D21" s="694">
        <v>2022</v>
      </c>
      <c r="E21" s="695"/>
      <c r="F21" s="696"/>
      <c r="G21" s="682" t="s">
        <v>814</v>
      </c>
      <c r="H21" s="680"/>
      <c r="I21" s="681"/>
      <c r="J21" s="682" t="s">
        <v>814</v>
      </c>
      <c r="K21" s="680"/>
      <c r="L21" s="681"/>
      <c r="M21" s="680" t="s">
        <v>814</v>
      </c>
      <c r="N21" s="680"/>
      <c r="O21" s="683"/>
      <c r="Q21" s="375"/>
      <c r="R21" s="69"/>
      <c r="S21" s="375"/>
      <c r="T21" s="375"/>
    </row>
    <row r="22" spans="1:20" s="29" customFormat="1" ht="15" customHeight="1" thickBot="1">
      <c r="A22" s="28"/>
      <c r="B22" s="68"/>
      <c r="C22" s="58"/>
      <c r="D22" s="701">
        <f>IF(OR(COUNTIF(D18:F21,"&gt;=-0.1")=4,COUNTIF(D18:F21,"&gt;=-0,1")=4),0.25,0)</f>
        <v>0</v>
      </c>
      <c r="E22" s="702"/>
      <c r="F22" s="703"/>
      <c r="G22" s="704">
        <f>IF(OR(COUNTIF(G18:I21,"&gt;=-0.1")=4,COUNTIF(G18:I21,"&gt;=-0,1")=4),0.25,0)</f>
        <v>0</v>
      </c>
      <c r="H22" s="702"/>
      <c r="I22" s="703"/>
      <c r="J22" s="704">
        <f>IF(OR(COUNTIF(J18:L21,"&gt;=-0.1")=4,COUNTIF(J18:L21,"&gt;=-0,1")=4),0.25,0)</f>
        <v>0</v>
      </c>
      <c r="K22" s="702"/>
      <c r="L22" s="703"/>
      <c r="M22" s="702">
        <f>IF(OR(COUNTIF(M18:O21,"&gt;=-0.1")=4,COUNTIF(M18:O21,"&gt;=-0,1")=4),0.25,0)</f>
        <v>0</v>
      </c>
      <c r="N22" s="702"/>
      <c r="O22" s="705"/>
      <c r="Q22" s="375"/>
      <c r="R22" s="69"/>
      <c r="S22" s="375"/>
      <c r="T22" s="375"/>
    </row>
    <row r="23" spans="1:20" s="1" customFormat="1" ht="15" customHeight="1" thickBot="1">
      <c r="B23" s="689" t="s">
        <v>134</v>
      </c>
      <c r="C23" s="690"/>
      <c r="D23" s="691">
        <f>SUM(D22:O22)</f>
        <v>0</v>
      </c>
      <c r="E23" s="692"/>
      <c r="F23" s="692"/>
      <c r="G23" s="692"/>
      <c r="H23" s="692"/>
      <c r="I23" s="692"/>
      <c r="J23" s="692"/>
      <c r="K23" s="692"/>
      <c r="L23" s="692"/>
      <c r="M23" s="692"/>
      <c r="N23" s="692"/>
      <c r="O23" s="693"/>
      <c r="Q23" s="6"/>
      <c r="R23" s="69"/>
      <c r="S23" s="6"/>
      <c r="T23" s="6"/>
    </row>
    <row r="24" spans="1:20" s="29" customFormat="1" ht="15" customHeight="1">
      <c r="A24" s="28"/>
      <c r="B24" s="33"/>
      <c r="C24" s="382" t="s">
        <v>145</v>
      </c>
      <c r="D24" s="697" t="s">
        <v>142</v>
      </c>
      <c r="E24" s="698"/>
      <c r="F24" s="698"/>
      <c r="G24" s="698"/>
      <c r="H24" s="698"/>
      <c r="I24" s="699"/>
      <c r="J24" s="698" t="s">
        <v>143</v>
      </c>
      <c r="K24" s="698"/>
      <c r="L24" s="698"/>
      <c r="M24" s="698"/>
      <c r="N24" s="698"/>
      <c r="O24" s="700"/>
      <c r="Q24" s="375"/>
      <c r="R24" s="69"/>
      <c r="S24" s="375"/>
      <c r="T24" s="375"/>
    </row>
    <row r="25" spans="1:20" s="29" customFormat="1" ht="15" customHeight="1">
      <c r="A25" s="28"/>
      <c r="B25" s="68"/>
      <c r="C25" s="244">
        <v>0.2</v>
      </c>
      <c r="D25" s="679"/>
      <c r="E25" s="680"/>
      <c r="F25" s="680"/>
      <c r="G25" s="680"/>
      <c r="H25" s="680"/>
      <c r="I25" s="681"/>
      <c r="J25" s="680"/>
      <c r="K25" s="680"/>
      <c r="L25" s="680"/>
      <c r="M25" s="680"/>
      <c r="N25" s="680"/>
      <c r="O25" s="683"/>
      <c r="Q25" s="383"/>
      <c r="R25" s="69"/>
      <c r="S25" s="375"/>
      <c r="T25" s="375"/>
    </row>
    <row r="26" spans="1:20" s="29" customFormat="1" ht="15" customHeight="1">
      <c r="A26" s="28"/>
      <c r="B26" s="68"/>
      <c r="C26" s="244">
        <v>0.3</v>
      </c>
      <c r="D26" s="679"/>
      <c r="E26" s="680"/>
      <c r="F26" s="680"/>
      <c r="G26" s="680"/>
      <c r="H26" s="680"/>
      <c r="I26" s="681"/>
      <c r="J26" s="680"/>
      <c r="K26" s="680"/>
      <c r="L26" s="680"/>
      <c r="M26" s="680"/>
      <c r="N26" s="680"/>
      <c r="O26" s="683"/>
      <c r="Q26" s="35"/>
      <c r="R26" s="69"/>
      <c r="S26" s="375"/>
      <c r="T26" s="375"/>
    </row>
    <row r="27" spans="1:20" s="29" customFormat="1" ht="15" customHeight="1">
      <c r="A27" s="28"/>
      <c r="B27" s="68"/>
      <c r="C27" s="244">
        <v>0.4</v>
      </c>
      <c r="D27" s="679"/>
      <c r="E27" s="680"/>
      <c r="F27" s="680"/>
      <c r="G27" s="680"/>
      <c r="H27" s="680"/>
      <c r="I27" s="681"/>
      <c r="J27" s="680"/>
      <c r="K27" s="680"/>
      <c r="L27" s="680"/>
      <c r="M27" s="680"/>
      <c r="N27" s="680"/>
      <c r="O27" s="683"/>
      <c r="Q27" s="375"/>
      <c r="R27" s="69"/>
      <c r="S27" s="375"/>
      <c r="T27" s="375"/>
    </row>
    <row r="28" spans="1:20" s="29" customFormat="1" ht="15" customHeight="1" thickBot="1">
      <c r="A28" s="28"/>
      <c r="B28" s="245"/>
      <c r="C28" s="246">
        <v>0.5</v>
      </c>
      <c r="D28" s="694"/>
      <c r="E28" s="695"/>
      <c r="F28" s="695"/>
      <c r="G28" s="695"/>
      <c r="H28" s="695"/>
      <c r="I28" s="696"/>
      <c r="J28" s="680"/>
      <c r="K28" s="680"/>
      <c r="L28" s="680"/>
      <c r="M28" s="680"/>
      <c r="N28" s="680"/>
      <c r="O28" s="683"/>
      <c r="Q28" s="375"/>
      <c r="R28" s="69"/>
      <c r="S28" s="375"/>
      <c r="T28" s="375"/>
    </row>
    <row r="29" spans="1:20" s="1" customFormat="1" ht="15" customHeight="1" thickBot="1">
      <c r="B29" s="689" t="s">
        <v>711</v>
      </c>
      <c r="C29" s="690"/>
      <c r="D29" s="691">
        <f>IF(OR(COUNTIF(D25:O28,"&gt;=-0.3")=8,COUNTIF(D25:O28,"&gt;=-0,3")=8),0.5,0)</f>
        <v>0</v>
      </c>
      <c r="E29" s="692"/>
      <c r="F29" s="692"/>
      <c r="G29" s="692"/>
      <c r="H29" s="692"/>
      <c r="I29" s="692"/>
      <c r="J29" s="692"/>
      <c r="K29" s="692"/>
      <c r="L29" s="692"/>
      <c r="M29" s="692"/>
      <c r="N29" s="692"/>
      <c r="O29" s="693"/>
      <c r="Q29" s="6"/>
      <c r="R29" s="69"/>
      <c r="S29" s="6"/>
      <c r="T29" s="6"/>
    </row>
    <row r="30" spans="1:20" s="29" customFormat="1" ht="15" customHeight="1">
      <c r="A30" s="28"/>
      <c r="B30" s="31"/>
      <c r="C30" s="35" t="s">
        <v>135</v>
      </c>
      <c r="D30" s="477"/>
      <c r="E30" s="478"/>
      <c r="F30" s="478"/>
      <c r="G30" s="478"/>
      <c r="H30" s="478"/>
      <c r="I30" s="478"/>
      <c r="J30" s="478"/>
      <c r="K30" s="478"/>
      <c r="L30" s="478"/>
      <c r="M30" s="478"/>
      <c r="N30" s="478"/>
      <c r="O30" s="479"/>
      <c r="Q30" s="375"/>
      <c r="R30" s="69"/>
      <c r="S30" s="375"/>
      <c r="T30" s="375"/>
    </row>
    <row r="31" spans="1:20" s="29" customFormat="1" ht="15" customHeight="1">
      <c r="A31" s="28"/>
      <c r="B31" s="68"/>
      <c r="C31" s="58">
        <v>0.3</v>
      </c>
      <c r="D31" s="670" t="s">
        <v>814</v>
      </c>
      <c r="E31" s="671"/>
      <c r="F31" s="671"/>
      <c r="G31" s="671"/>
      <c r="H31" s="671"/>
      <c r="I31" s="671"/>
      <c r="J31" s="671"/>
      <c r="K31" s="671"/>
      <c r="L31" s="671"/>
      <c r="M31" s="671"/>
      <c r="N31" s="671"/>
      <c r="O31" s="672"/>
      <c r="Q31" s="377"/>
      <c r="R31" s="69"/>
      <c r="S31" s="375"/>
      <c r="T31" s="375"/>
    </row>
    <row r="32" spans="1:20" s="29" customFormat="1" ht="15" customHeight="1">
      <c r="A32" s="28"/>
      <c r="B32" s="68"/>
      <c r="C32" s="58">
        <v>0.4</v>
      </c>
      <c r="D32" s="670" t="s">
        <v>814</v>
      </c>
      <c r="E32" s="671"/>
      <c r="F32" s="671"/>
      <c r="G32" s="671"/>
      <c r="H32" s="671"/>
      <c r="I32" s="671"/>
      <c r="J32" s="671"/>
      <c r="K32" s="671"/>
      <c r="L32" s="671"/>
      <c r="M32" s="671"/>
      <c r="N32" s="671"/>
      <c r="O32" s="672"/>
      <c r="Q32" s="375"/>
      <c r="R32" s="69"/>
      <c r="S32" s="375"/>
      <c r="T32" s="375"/>
    </row>
    <row r="33" spans="1:20" s="29" customFormat="1" ht="15" customHeight="1">
      <c r="A33" s="28"/>
      <c r="B33" s="68"/>
      <c r="C33" s="58">
        <v>0.5</v>
      </c>
      <c r="D33" s="670" t="s">
        <v>814</v>
      </c>
      <c r="E33" s="671"/>
      <c r="F33" s="671"/>
      <c r="G33" s="671"/>
      <c r="H33" s="671"/>
      <c r="I33" s="671"/>
      <c r="J33" s="671"/>
      <c r="K33" s="671"/>
      <c r="L33" s="671"/>
      <c r="M33" s="671"/>
      <c r="N33" s="671"/>
      <c r="O33" s="672"/>
      <c r="Q33" s="375"/>
      <c r="R33" s="69"/>
      <c r="S33" s="375"/>
      <c r="T33" s="375"/>
    </row>
    <row r="34" spans="1:20" s="29" customFormat="1" ht="15" customHeight="1" thickBot="1">
      <c r="A34" s="28"/>
      <c r="B34" s="68"/>
      <c r="C34" s="58">
        <v>0.6</v>
      </c>
      <c r="D34" s="670" t="s">
        <v>814</v>
      </c>
      <c r="E34" s="671"/>
      <c r="F34" s="671"/>
      <c r="G34" s="671"/>
      <c r="H34" s="671"/>
      <c r="I34" s="671"/>
      <c r="J34" s="671"/>
      <c r="K34" s="671"/>
      <c r="L34" s="671"/>
      <c r="M34" s="671"/>
      <c r="N34" s="671"/>
      <c r="O34" s="672"/>
      <c r="Q34" s="375"/>
      <c r="R34" s="69"/>
      <c r="S34" s="375"/>
      <c r="T34" s="375"/>
    </row>
    <row r="35" spans="1:20" s="1" customFormat="1" ht="15" customHeight="1" thickBot="1">
      <c r="B35" s="689" t="s">
        <v>136</v>
      </c>
      <c r="C35" s="690"/>
      <c r="D35" s="691">
        <f>IF(COUNTIF(D31:O34,"PASS")=4,1,0)</f>
        <v>0</v>
      </c>
      <c r="E35" s="692"/>
      <c r="F35" s="692"/>
      <c r="G35" s="692"/>
      <c r="H35" s="692"/>
      <c r="I35" s="692"/>
      <c r="J35" s="692"/>
      <c r="K35" s="692"/>
      <c r="L35" s="692"/>
      <c r="M35" s="692"/>
      <c r="N35" s="692"/>
      <c r="O35" s="693"/>
      <c r="Q35" s="6"/>
      <c r="R35" s="69"/>
      <c r="S35" s="6"/>
      <c r="T35" s="6"/>
    </row>
    <row r="36" spans="1:20" s="29" customFormat="1" ht="15" customHeight="1">
      <c r="A36" s="28"/>
      <c r="B36" s="31"/>
      <c r="C36" s="35" t="s">
        <v>160</v>
      </c>
      <c r="D36" s="498" t="s">
        <v>137</v>
      </c>
      <c r="E36" s="500"/>
      <c r="F36" s="500"/>
      <c r="G36" s="500"/>
      <c r="H36" s="500"/>
      <c r="I36" s="499"/>
      <c r="J36" s="710" t="s">
        <v>138</v>
      </c>
      <c r="K36" s="710"/>
      <c r="L36" s="710"/>
      <c r="M36" s="710"/>
      <c r="N36" s="710"/>
      <c r="O36" s="711"/>
      <c r="Q36" s="375"/>
      <c r="R36" s="69"/>
      <c r="S36" s="375"/>
      <c r="T36" s="375"/>
    </row>
    <row r="37" spans="1:20" s="29" customFormat="1" ht="15" customHeight="1">
      <c r="A37" s="28"/>
      <c r="B37" s="68"/>
      <c r="C37" s="58">
        <v>0.3</v>
      </c>
      <c r="D37" s="679" t="s">
        <v>814</v>
      </c>
      <c r="E37" s="671"/>
      <c r="F37" s="671"/>
      <c r="G37" s="671"/>
      <c r="H37" s="671"/>
      <c r="I37" s="706"/>
      <c r="J37" s="708"/>
      <c r="K37" s="708"/>
      <c r="L37" s="708"/>
      <c r="M37" s="708"/>
      <c r="N37" s="708"/>
      <c r="O37" s="712"/>
      <c r="Q37" s="377"/>
      <c r="R37" s="69"/>
      <c r="S37" s="375"/>
      <c r="T37" s="375"/>
    </row>
    <row r="38" spans="1:20" s="29" customFormat="1" ht="15" customHeight="1">
      <c r="A38" s="28"/>
      <c r="B38" s="68"/>
      <c r="C38" s="58">
        <v>0.4</v>
      </c>
      <c r="D38" s="679" t="s">
        <v>814</v>
      </c>
      <c r="E38" s="671"/>
      <c r="F38" s="671"/>
      <c r="G38" s="671"/>
      <c r="H38" s="671"/>
      <c r="I38" s="706"/>
      <c r="J38" s="708"/>
      <c r="K38" s="708"/>
      <c r="L38" s="708"/>
      <c r="M38" s="708"/>
      <c r="N38" s="708"/>
      <c r="O38" s="712"/>
      <c r="Q38" s="375"/>
      <c r="R38" s="69"/>
      <c r="S38" s="375"/>
      <c r="T38" s="375"/>
    </row>
    <row r="39" spans="1:20" s="29" customFormat="1" ht="15" customHeight="1">
      <c r="A39" s="28"/>
      <c r="B39" s="68"/>
      <c r="C39" s="58">
        <v>0.5</v>
      </c>
      <c r="D39" s="679" t="s">
        <v>814</v>
      </c>
      <c r="E39" s="671"/>
      <c r="F39" s="671"/>
      <c r="G39" s="671"/>
      <c r="H39" s="671"/>
      <c r="I39" s="706"/>
      <c r="J39" s="679" t="s">
        <v>814</v>
      </c>
      <c r="K39" s="671"/>
      <c r="L39" s="671"/>
      <c r="M39" s="671"/>
      <c r="N39" s="671"/>
      <c r="O39" s="706"/>
      <c r="Q39" s="375"/>
      <c r="R39" s="69"/>
      <c r="S39" s="375"/>
      <c r="T39" s="375"/>
    </row>
    <row r="40" spans="1:20" s="29" customFormat="1" ht="15" customHeight="1">
      <c r="A40" s="28"/>
      <c r="B40" s="68"/>
      <c r="C40" s="58">
        <v>0.6</v>
      </c>
      <c r="D40" s="679" t="s">
        <v>814</v>
      </c>
      <c r="E40" s="671"/>
      <c r="F40" s="671"/>
      <c r="G40" s="671"/>
      <c r="H40" s="671"/>
      <c r="I40" s="706"/>
      <c r="J40" s="679" t="s">
        <v>814</v>
      </c>
      <c r="K40" s="671"/>
      <c r="L40" s="671"/>
      <c r="M40" s="671"/>
      <c r="N40" s="671"/>
      <c r="O40" s="706"/>
      <c r="Q40" s="375"/>
      <c r="R40" s="69"/>
      <c r="S40" s="375"/>
      <c r="T40" s="375"/>
    </row>
    <row r="41" spans="1:20" s="29" customFormat="1" ht="15" customHeight="1">
      <c r="A41" s="28"/>
      <c r="B41" s="68"/>
      <c r="C41" s="58">
        <v>0.7</v>
      </c>
      <c r="D41" s="707"/>
      <c r="E41" s="708"/>
      <c r="F41" s="708"/>
      <c r="G41" s="708"/>
      <c r="H41" s="708"/>
      <c r="I41" s="709"/>
      <c r="J41" s="679" t="s">
        <v>814</v>
      </c>
      <c r="K41" s="671"/>
      <c r="L41" s="671"/>
      <c r="M41" s="671"/>
      <c r="N41" s="671"/>
      <c r="O41" s="706"/>
      <c r="Q41" s="375"/>
      <c r="R41" s="69"/>
      <c r="S41" s="375"/>
      <c r="T41" s="375"/>
    </row>
    <row r="42" spans="1:20" s="29" customFormat="1" ht="15" customHeight="1">
      <c r="A42" s="28"/>
      <c r="B42" s="31"/>
      <c r="C42" s="35" t="s">
        <v>161</v>
      </c>
      <c r="D42" s="716"/>
      <c r="E42" s="717"/>
      <c r="F42" s="717"/>
      <c r="G42" s="717"/>
      <c r="H42" s="717"/>
      <c r="I42" s="718"/>
      <c r="J42" s="708"/>
      <c r="K42" s="708"/>
      <c r="L42" s="708"/>
      <c r="M42" s="708"/>
      <c r="N42" s="708"/>
      <c r="O42" s="712"/>
      <c r="Q42" s="375"/>
      <c r="R42" s="69"/>
      <c r="S42" s="375"/>
      <c r="T42" s="375"/>
    </row>
    <row r="43" spans="1:20" s="29" customFormat="1" ht="15" customHeight="1">
      <c r="A43" s="28"/>
      <c r="B43" s="68"/>
      <c r="C43" s="58">
        <v>0.3</v>
      </c>
      <c r="D43" s="679" t="s">
        <v>814</v>
      </c>
      <c r="E43" s="671"/>
      <c r="F43" s="671"/>
      <c r="G43" s="671"/>
      <c r="H43" s="671"/>
      <c r="I43" s="706"/>
      <c r="J43" s="708"/>
      <c r="K43" s="708"/>
      <c r="L43" s="708"/>
      <c r="M43" s="708"/>
      <c r="N43" s="708"/>
      <c r="O43" s="712"/>
      <c r="Q43" s="375"/>
      <c r="R43" s="69"/>
      <c r="S43" s="375"/>
      <c r="T43" s="375"/>
    </row>
    <row r="44" spans="1:20" s="29" customFormat="1" ht="15" customHeight="1">
      <c r="A44" s="28"/>
      <c r="B44" s="68"/>
      <c r="C44" s="58">
        <v>0.4</v>
      </c>
      <c r="D44" s="679" t="s">
        <v>814</v>
      </c>
      <c r="E44" s="671"/>
      <c r="F44" s="671"/>
      <c r="G44" s="671"/>
      <c r="H44" s="671"/>
      <c r="I44" s="706"/>
      <c r="J44" s="708"/>
      <c r="K44" s="708"/>
      <c r="L44" s="708"/>
      <c r="M44" s="708"/>
      <c r="N44" s="708"/>
      <c r="O44" s="712"/>
      <c r="Q44" s="375"/>
      <c r="R44" s="69"/>
      <c r="S44" s="375"/>
      <c r="T44" s="375"/>
    </row>
    <row r="45" spans="1:20" s="29" customFormat="1" ht="15" customHeight="1">
      <c r="A45" s="28"/>
      <c r="B45" s="68"/>
      <c r="C45" s="58">
        <v>0.5</v>
      </c>
      <c r="D45" s="679" t="s">
        <v>814</v>
      </c>
      <c r="E45" s="671"/>
      <c r="F45" s="671"/>
      <c r="G45" s="671"/>
      <c r="H45" s="671"/>
      <c r="I45" s="706"/>
      <c r="J45" s="679" t="s">
        <v>814</v>
      </c>
      <c r="K45" s="671"/>
      <c r="L45" s="671"/>
      <c r="M45" s="671"/>
      <c r="N45" s="671"/>
      <c r="O45" s="706"/>
      <c r="Q45" s="375"/>
      <c r="R45" s="69"/>
      <c r="S45" s="375"/>
      <c r="T45" s="375"/>
    </row>
    <row r="46" spans="1:20" s="29" customFormat="1" ht="15" customHeight="1">
      <c r="A46" s="28"/>
      <c r="B46" s="68"/>
      <c r="C46" s="58">
        <v>0.6</v>
      </c>
      <c r="D46" s="679" t="s">
        <v>814</v>
      </c>
      <c r="E46" s="671"/>
      <c r="F46" s="671"/>
      <c r="G46" s="671"/>
      <c r="H46" s="671"/>
      <c r="I46" s="706"/>
      <c r="J46" s="679" t="s">
        <v>814</v>
      </c>
      <c r="K46" s="671"/>
      <c r="L46" s="671"/>
      <c r="M46" s="671"/>
      <c r="N46" s="671"/>
      <c r="O46" s="706"/>
      <c r="Q46" s="375"/>
      <c r="R46" s="69"/>
      <c r="S46" s="375"/>
      <c r="T46" s="375"/>
    </row>
    <row r="47" spans="1:20" s="29" customFormat="1" ht="15" customHeight="1" thickBot="1">
      <c r="A47" s="28"/>
      <c r="B47" s="68"/>
      <c r="C47" s="58">
        <v>0.7</v>
      </c>
      <c r="D47" s="713"/>
      <c r="E47" s="714"/>
      <c r="F47" s="714"/>
      <c r="G47" s="714"/>
      <c r="H47" s="714"/>
      <c r="I47" s="715"/>
      <c r="J47" s="679" t="s">
        <v>814</v>
      </c>
      <c r="K47" s="671"/>
      <c r="L47" s="671"/>
      <c r="M47" s="671"/>
      <c r="N47" s="671"/>
      <c r="O47" s="706"/>
      <c r="Q47" s="375"/>
      <c r="R47" s="69"/>
      <c r="S47" s="375"/>
      <c r="T47" s="375"/>
    </row>
    <row r="48" spans="1:20" s="1" customFormat="1" ht="15" customHeight="1" thickBot="1">
      <c r="B48" s="689" t="s">
        <v>139</v>
      </c>
      <c r="C48" s="690"/>
      <c r="D48" s="691">
        <f>IF(COUNTIF(D37:O47,"PASS")=14,0.5,0)</f>
        <v>0</v>
      </c>
      <c r="E48" s="692"/>
      <c r="F48" s="692"/>
      <c r="G48" s="692"/>
      <c r="H48" s="692"/>
      <c r="I48" s="692"/>
      <c r="J48" s="692"/>
      <c r="K48" s="692"/>
      <c r="L48" s="692"/>
      <c r="M48" s="692"/>
      <c r="N48" s="692"/>
      <c r="O48" s="693"/>
      <c r="Q48" s="6"/>
      <c r="R48" s="69"/>
      <c r="S48" s="6"/>
      <c r="T48" s="6"/>
    </row>
    <row r="49" spans="1:20" s="1" customFormat="1" ht="15" customHeight="1" thickBot="1">
      <c r="B49" s="723"/>
      <c r="C49" s="724"/>
      <c r="D49" s="724"/>
      <c r="E49" s="724"/>
      <c r="F49" s="724"/>
      <c r="G49" s="724"/>
      <c r="H49" s="724"/>
      <c r="I49" s="724"/>
      <c r="J49" s="724"/>
      <c r="K49" s="724"/>
      <c r="L49" s="724"/>
      <c r="M49" s="724"/>
      <c r="N49" s="724"/>
      <c r="O49" s="725"/>
      <c r="Q49" s="6"/>
      <c r="R49" s="69"/>
      <c r="S49" s="6"/>
      <c r="T49" s="6"/>
    </row>
    <row r="50" spans="1:20" s="29" customFormat="1" ht="15" customHeight="1" thickBot="1">
      <c r="A50" s="28"/>
      <c r="B50" s="510" t="s">
        <v>140</v>
      </c>
      <c r="C50" s="511"/>
      <c r="D50" s="512">
        <f>SUM(D23,D29,D35,D48)</f>
        <v>0</v>
      </c>
      <c r="E50" s="514"/>
      <c r="F50" s="514"/>
      <c r="G50" s="514"/>
      <c r="H50" s="514"/>
      <c r="I50" s="514"/>
      <c r="J50" s="514"/>
      <c r="K50" s="514"/>
      <c r="L50" s="514"/>
      <c r="M50" s="514"/>
      <c r="N50" s="514"/>
      <c r="O50" s="515"/>
      <c r="Q50" s="376"/>
      <c r="R50" s="69"/>
      <c r="S50" s="375"/>
      <c r="T50" s="375"/>
    </row>
    <row r="51" spans="1:20" s="29" customFormat="1" ht="15" customHeight="1" thickBot="1">
      <c r="A51" s="28"/>
      <c r="B51" s="546"/>
      <c r="C51" s="546"/>
      <c r="D51" s="546"/>
      <c r="E51" s="546"/>
      <c r="F51" s="546"/>
      <c r="G51" s="546"/>
      <c r="H51" s="546"/>
      <c r="I51" s="546"/>
      <c r="J51" s="546"/>
      <c r="K51" s="546"/>
      <c r="L51" s="546"/>
      <c r="M51" s="546"/>
      <c r="N51" s="546"/>
      <c r="O51" s="546"/>
      <c r="Q51" s="375"/>
      <c r="R51" s="69"/>
      <c r="S51" s="375"/>
      <c r="T51" s="375"/>
    </row>
    <row r="52" spans="1:20" s="29" customFormat="1" ht="15" customHeight="1">
      <c r="A52" s="28"/>
      <c r="B52" s="33" t="s">
        <v>141</v>
      </c>
      <c r="C52" s="34"/>
      <c r="D52" s="719" t="s">
        <v>144</v>
      </c>
      <c r="E52" s="720"/>
      <c r="F52" s="720"/>
      <c r="G52" s="720"/>
      <c r="H52" s="720"/>
      <c r="I52" s="721"/>
      <c r="J52" s="720" t="s">
        <v>145</v>
      </c>
      <c r="K52" s="720"/>
      <c r="L52" s="720"/>
      <c r="M52" s="720"/>
      <c r="N52" s="720"/>
      <c r="O52" s="722"/>
      <c r="Q52" s="377"/>
      <c r="R52" s="69"/>
      <c r="S52" s="375"/>
      <c r="T52" s="375"/>
    </row>
    <row r="53" spans="1:20" s="29" customFormat="1" ht="15" customHeight="1">
      <c r="A53" s="28"/>
      <c r="B53" s="31"/>
      <c r="C53" s="35"/>
      <c r="D53" s="684" t="s">
        <v>142</v>
      </c>
      <c r="E53" s="685"/>
      <c r="F53" s="686"/>
      <c r="G53" s="685" t="s">
        <v>143</v>
      </c>
      <c r="H53" s="685"/>
      <c r="I53" s="686"/>
      <c r="J53" s="685" t="s">
        <v>142</v>
      </c>
      <c r="K53" s="685"/>
      <c r="L53" s="686"/>
      <c r="M53" s="687" t="s">
        <v>143</v>
      </c>
      <c r="N53" s="685"/>
      <c r="O53" s="688"/>
      <c r="Q53" s="375"/>
      <c r="R53" s="69"/>
      <c r="S53" s="375"/>
      <c r="T53" s="375"/>
    </row>
    <row r="54" spans="1:20" s="29" customFormat="1" ht="15" customHeight="1">
      <c r="A54" s="28"/>
      <c r="B54" s="68"/>
      <c r="C54" s="58">
        <v>0.2</v>
      </c>
      <c r="D54" s="679" t="s">
        <v>814</v>
      </c>
      <c r="E54" s="680"/>
      <c r="F54" s="681"/>
      <c r="G54" s="680" t="s">
        <v>814</v>
      </c>
      <c r="H54" s="680"/>
      <c r="I54" s="681"/>
      <c r="J54" s="680" t="s">
        <v>814</v>
      </c>
      <c r="K54" s="680"/>
      <c r="L54" s="681"/>
      <c r="M54" s="682" t="s">
        <v>814</v>
      </c>
      <c r="N54" s="680"/>
      <c r="O54" s="683"/>
      <c r="Q54" s="375"/>
      <c r="R54" s="69"/>
      <c r="S54" s="375"/>
      <c r="T54" s="375"/>
    </row>
    <row r="55" spans="1:20" s="29" customFormat="1" ht="15" customHeight="1">
      <c r="A55" s="28"/>
      <c r="B55" s="68"/>
      <c r="C55" s="58">
        <v>0.3</v>
      </c>
      <c r="D55" s="679" t="s">
        <v>814</v>
      </c>
      <c r="E55" s="680"/>
      <c r="F55" s="681"/>
      <c r="G55" s="680" t="s">
        <v>814</v>
      </c>
      <c r="H55" s="680"/>
      <c r="I55" s="681"/>
      <c r="J55" s="680" t="s">
        <v>814</v>
      </c>
      <c r="K55" s="680"/>
      <c r="L55" s="681"/>
      <c r="M55" s="682" t="s">
        <v>814</v>
      </c>
      <c r="N55" s="680"/>
      <c r="O55" s="683"/>
      <c r="Q55" s="375"/>
      <c r="R55" s="69"/>
      <c r="S55" s="375"/>
      <c r="T55" s="375"/>
    </row>
    <row r="56" spans="1:20" s="29" customFormat="1" ht="15" customHeight="1">
      <c r="A56" s="28"/>
      <c r="B56" s="68"/>
      <c r="C56" s="58">
        <v>0.4</v>
      </c>
      <c r="D56" s="679" t="s">
        <v>814</v>
      </c>
      <c r="E56" s="680"/>
      <c r="F56" s="681"/>
      <c r="G56" s="680" t="s">
        <v>814</v>
      </c>
      <c r="H56" s="680"/>
      <c r="I56" s="681"/>
      <c r="J56" s="680" t="s">
        <v>814</v>
      </c>
      <c r="K56" s="680"/>
      <c r="L56" s="681"/>
      <c r="M56" s="682" t="s">
        <v>814</v>
      </c>
      <c r="N56" s="680"/>
      <c r="O56" s="683"/>
      <c r="Q56" s="375"/>
      <c r="R56" s="69"/>
      <c r="S56" s="375"/>
      <c r="T56" s="375"/>
    </row>
    <row r="57" spans="1:20" s="29" customFormat="1" ht="15" customHeight="1" thickBot="1">
      <c r="A57" s="28"/>
      <c r="B57" s="31"/>
      <c r="C57" s="58">
        <v>0.5</v>
      </c>
      <c r="D57" s="679" t="s">
        <v>814</v>
      </c>
      <c r="E57" s="680"/>
      <c r="F57" s="681"/>
      <c r="G57" s="680" t="s">
        <v>814</v>
      </c>
      <c r="H57" s="680"/>
      <c r="I57" s="681"/>
      <c r="J57" s="680" t="s">
        <v>814</v>
      </c>
      <c r="K57" s="680"/>
      <c r="L57" s="681"/>
      <c r="M57" s="682" t="s">
        <v>814</v>
      </c>
      <c r="N57" s="680"/>
      <c r="O57" s="683"/>
      <c r="Q57" s="375"/>
      <c r="R57" s="69"/>
      <c r="S57" s="375"/>
      <c r="T57" s="375"/>
    </row>
    <row r="58" spans="1:20" s="1" customFormat="1" ht="15" customHeight="1" thickBot="1">
      <c r="B58" s="689" t="s">
        <v>712</v>
      </c>
      <c r="C58" s="690"/>
      <c r="D58" s="691">
        <f>IF(OR(COUNTIF(D54:I57,"&gt;=-0.3")=8,COUNTIF(D54:I57,"&gt;=-0,3")=8),0.25,0)</f>
        <v>0</v>
      </c>
      <c r="E58" s="692"/>
      <c r="F58" s="692"/>
      <c r="G58" s="692"/>
      <c r="H58" s="692"/>
      <c r="I58" s="726"/>
      <c r="J58" s="692">
        <f>IF(OR(COUNTIF(J54:O57,"&gt;=-0.3")=8,COUNTIF(J54:O57,"&gt;=-0,3")=8),0.25,0)</f>
        <v>0</v>
      </c>
      <c r="K58" s="692"/>
      <c r="L58" s="692"/>
      <c r="M58" s="692"/>
      <c r="N58" s="692"/>
      <c r="O58" s="693"/>
      <c r="Q58" s="384"/>
      <c r="R58" s="69"/>
      <c r="S58" s="6"/>
      <c r="T58" s="6"/>
    </row>
    <row r="59" spans="1:20" s="1" customFormat="1" ht="15" customHeight="1" thickBot="1">
      <c r="B59" s="723"/>
      <c r="C59" s="724"/>
      <c r="D59" s="724"/>
      <c r="E59" s="724"/>
      <c r="F59" s="724"/>
      <c r="G59" s="724"/>
      <c r="H59" s="724"/>
      <c r="I59" s="724"/>
      <c r="J59" s="724"/>
      <c r="K59" s="724"/>
      <c r="L59" s="724"/>
      <c r="M59" s="724"/>
      <c r="N59" s="724"/>
      <c r="O59" s="725"/>
      <c r="Q59" s="6"/>
      <c r="R59" s="69"/>
      <c r="S59" s="6"/>
      <c r="T59" s="6"/>
    </row>
    <row r="60" spans="1:20" s="29" customFormat="1" ht="15" customHeight="1" thickBot="1">
      <c r="A60" s="28"/>
      <c r="B60" s="510" t="s">
        <v>146</v>
      </c>
      <c r="C60" s="516"/>
      <c r="D60" s="691">
        <f>SUM(D58,J58)</f>
        <v>0</v>
      </c>
      <c r="E60" s="692"/>
      <c r="F60" s="692"/>
      <c r="G60" s="692"/>
      <c r="H60" s="692"/>
      <c r="I60" s="692"/>
      <c r="J60" s="692"/>
      <c r="K60" s="692"/>
      <c r="L60" s="692"/>
      <c r="M60" s="692"/>
      <c r="N60" s="692"/>
      <c r="O60" s="693"/>
      <c r="Q60" s="375"/>
      <c r="R60" s="69"/>
      <c r="S60" s="375"/>
      <c r="T60" s="375"/>
    </row>
    <row r="61" spans="1:20" s="29" customFormat="1" ht="15" customHeight="1" thickBot="1">
      <c r="A61" s="28"/>
      <c r="B61" s="546"/>
      <c r="C61" s="546"/>
      <c r="D61" s="546"/>
      <c r="E61" s="546"/>
      <c r="F61" s="546"/>
      <c r="G61" s="546"/>
      <c r="H61" s="546"/>
      <c r="I61" s="546"/>
      <c r="J61" s="546"/>
      <c r="K61" s="546"/>
      <c r="L61" s="546"/>
      <c r="M61" s="546"/>
      <c r="N61" s="546"/>
      <c r="O61" s="546"/>
      <c r="Q61" s="375"/>
      <c r="R61" s="69"/>
      <c r="S61" s="375"/>
      <c r="T61" s="375"/>
    </row>
    <row r="62" spans="1:20" s="29" customFormat="1" ht="15" customHeight="1">
      <c r="A62" s="28"/>
      <c r="B62" s="33" t="s">
        <v>24</v>
      </c>
      <c r="C62" s="34"/>
      <c r="D62" s="498"/>
      <c r="E62" s="500"/>
      <c r="F62" s="500"/>
      <c r="G62" s="500"/>
      <c r="H62" s="500"/>
      <c r="I62" s="500"/>
      <c r="J62" s="500"/>
      <c r="K62" s="500"/>
      <c r="L62" s="500"/>
      <c r="M62" s="500"/>
      <c r="N62" s="500"/>
      <c r="O62" s="501"/>
      <c r="Q62" s="375"/>
      <c r="R62" s="69"/>
      <c r="S62" s="375"/>
      <c r="T62" s="375"/>
    </row>
    <row r="63" spans="1:20" s="29" customFormat="1" ht="15" customHeight="1">
      <c r="A63" s="28"/>
      <c r="B63" s="68">
        <v>1</v>
      </c>
      <c r="C63" s="42" t="s">
        <v>147</v>
      </c>
      <c r="D63" s="670" t="s">
        <v>816</v>
      </c>
      <c r="E63" s="671"/>
      <c r="F63" s="671"/>
      <c r="G63" s="671"/>
      <c r="H63" s="671"/>
      <c r="I63" s="671"/>
      <c r="J63" s="671"/>
      <c r="K63" s="671"/>
      <c r="L63" s="671"/>
      <c r="M63" s="671"/>
      <c r="N63" s="671"/>
      <c r="O63" s="672"/>
      <c r="Q63" s="377"/>
      <c r="R63" s="69"/>
      <c r="S63" s="375"/>
      <c r="T63" s="375"/>
    </row>
    <row r="64" spans="1:20" s="29" customFormat="1" ht="15" customHeight="1" thickBot="1">
      <c r="A64" s="28"/>
      <c r="B64" s="68">
        <v>2</v>
      </c>
      <c r="C64" s="42" t="s">
        <v>74</v>
      </c>
      <c r="D64" s="670" t="s">
        <v>771</v>
      </c>
      <c r="E64" s="671"/>
      <c r="F64" s="671"/>
      <c r="G64" s="671"/>
      <c r="H64" s="671"/>
      <c r="I64" s="671"/>
      <c r="J64" s="671"/>
      <c r="K64" s="671"/>
      <c r="L64" s="671"/>
      <c r="M64" s="671"/>
      <c r="N64" s="671"/>
      <c r="O64" s="672"/>
      <c r="Q64" s="377"/>
      <c r="R64" s="69"/>
      <c r="S64" s="375"/>
      <c r="T64" s="375"/>
    </row>
    <row r="65" spans="1:20" s="29" customFormat="1" ht="15" customHeight="1" thickBot="1">
      <c r="A65" s="28"/>
      <c r="B65" s="510" t="s">
        <v>27</v>
      </c>
      <c r="C65" s="511"/>
      <c r="D65" s="512">
        <f>IF(OR(D63="PASS",D64="PASS"),0.5,0)</f>
        <v>0.5</v>
      </c>
      <c r="E65" s="514"/>
      <c r="F65" s="514"/>
      <c r="G65" s="514"/>
      <c r="H65" s="514"/>
      <c r="I65" s="514"/>
      <c r="J65" s="514"/>
      <c r="K65" s="514"/>
      <c r="L65" s="514"/>
      <c r="M65" s="514"/>
      <c r="N65" s="514"/>
      <c r="O65" s="515"/>
      <c r="Q65" s="376"/>
      <c r="R65" s="69"/>
      <c r="S65" s="375"/>
      <c r="T65" s="375"/>
    </row>
    <row r="66" spans="1:20" s="29" customFormat="1" ht="15" customHeight="1" thickBot="1">
      <c r="A66" s="28"/>
      <c r="B66" s="546"/>
      <c r="C66" s="546"/>
      <c r="D66" s="546"/>
      <c r="E66" s="546"/>
      <c r="F66" s="546"/>
      <c r="G66" s="546"/>
      <c r="H66" s="546"/>
      <c r="I66" s="546"/>
      <c r="J66" s="546"/>
      <c r="K66" s="546"/>
      <c r="L66" s="546"/>
      <c r="M66" s="546"/>
      <c r="N66" s="546"/>
      <c r="O66" s="546"/>
      <c r="Q66" s="375"/>
      <c r="R66" s="69"/>
      <c r="S66" s="375"/>
      <c r="T66" s="375"/>
    </row>
    <row r="67" spans="1:20" s="29" customFormat="1" ht="15" customHeight="1" thickBot="1">
      <c r="A67" s="28"/>
      <c r="B67" s="480" t="s">
        <v>9</v>
      </c>
      <c r="C67" s="522"/>
      <c r="D67" s="523"/>
      <c r="E67" s="727"/>
      <c r="F67" s="727"/>
      <c r="G67" s="727"/>
      <c r="H67" s="727"/>
      <c r="I67" s="727"/>
      <c r="J67" s="727"/>
      <c r="K67" s="727"/>
      <c r="L67" s="727"/>
      <c r="M67" s="727"/>
      <c r="N67" s="727"/>
      <c r="O67" s="547"/>
      <c r="Q67" s="375"/>
      <c r="R67" s="69"/>
      <c r="S67" s="375"/>
      <c r="T67" s="375"/>
    </row>
    <row r="68" spans="1:20" s="29" customFormat="1" ht="15" customHeight="1">
      <c r="A68" s="28"/>
      <c r="B68" s="86"/>
      <c r="C68" s="85" t="s">
        <v>148</v>
      </c>
      <c r="D68" s="728">
        <f>D50</f>
        <v>0</v>
      </c>
      <c r="E68" s="729"/>
      <c r="F68" s="729"/>
      <c r="G68" s="729"/>
      <c r="H68" s="729"/>
      <c r="I68" s="729"/>
      <c r="J68" s="729"/>
      <c r="K68" s="729"/>
      <c r="L68" s="729"/>
      <c r="M68" s="729"/>
      <c r="N68" s="729"/>
      <c r="O68" s="730"/>
      <c r="Q68" s="375"/>
      <c r="R68" s="69"/>
      <c r="S68" s="375"/>
      <c r="T68" s="375"/>
    </row>
    <row r="69" spans="1:20" s="29" customFormat="1" ht="15" customHeight="1">
      <c r="A69" s="28"/>
      <c r="B69" s="36"/>
      <c r="C69" s="82" t="s">
        <v>81</v>
      </c>
      <c r="D69" s="731">
        <f>D60</f>
        <v>0</v>
      </c>
      <c r="E69" s="732"/>
      <c r="F69" s="732"/>
      <c r="G69" s="732"/>
      <c r="H69" s="732"/>
      <c r="I69" s="732"/>
      <c r="J69" s="732"/>
      <c r="K69" s="732"/>
      <c r="L69" s="732"/>
      <c r="M69" s="732"/>
      <c r="N69" s="732"/>
      <c r="O69" s="733"/>
      <c r="Q69" s="375"/>
      <c r="R69" s="69"/>
      <c r="S69" s="375"/>
      <c r="T69" s="375"/>
    </row>
    <row r="70" spans="1:20" ht="15" customHeight="1" thickBot="1">
      <c r="B70" s="38"/>
      <c r="C70" s="84" t="s">
        <v>24</v>
      </c>
      <c r="D70" s="734">
        <f>D65</f>
        <v>0.5</v>
      </c>
      <c r="E70" s="735"/>
      <c r="F70" s="735"/>
      <c r="G70" s="735"/>
      <c r="H70" s="735"/>
      <c r="I70" s="735"/>
      <c r="J70" s="735"/>
      <c r="K70" s="735"/>
      <c r="L70" s="735"/>
      <c r="M70" s="735"/>
      <c r="N70" s="735"/>
      <c r="O70" s="736"/>
      <c r="Q70" s="69"/>
      <c r="R70" s="69"/>
      <c r="S70" s="69"/>
      <c r="T70" s="69"/>
    </row>
    <row r="71" spans="1:20" ht="15" customHeight="1" thickBot="1">
      <c r="B71" s="546"/>
      <c r="C71" s="546"/>
      <c r="D71" s="546"/>
      <c r="E71" s="546"/>
      <c r="F71" s="546"/>
      <c r="G71" s="546"/>
      <c r="H71" s="546"/>
      <c r="I71" s="546"/>
      <c r="J71" s="546"/>
      <c r="K71" s="546"/>
      <c r="L71" s="546"/>
      <c r="M71" s="546"/>
      <c r="N71" s="546"/>
      <c r="O71" s="546"/>
      <c r="Q71" s="69"/>
      <c r="R71" s="69"/>
      <c r="S71" s="69"/>
      <c r="T71" s="69"/>
    </row>
    <row r="72" spans="1:20" ht="21.75" thickBot="1">
      <c r="B72" s="533" t="s">
        <v>149</v>
      </c>
      <c r="C72" s="534"/>
      <c r="D72" s="535">
        <f>IF(D14="FAIL",0,ROUND(SUM(D68:O70),Round))</f>
        <v>0.5</v>
      </c>
      <c r="E72" s="536"/>
      <c r="F72" s="536"/>
      <c r="G72" s="536"/>
      <c r="H72" s="536"/>
      <c r="I72" s="536"/>
      <c r="J72" s="536"/>
      <c r="K72" s="536"/>
      <c r="L72" s="536"/>
      <c r="M72" s="536"/>
      <c r="N72" s="536"/>
      <c r="O72" s="537"/>
      <c r="Q72" s="69"/>
      <c r="R72" s="69"/>
      <c r="S72" s="69"/>
      <c r="T72" s="69"/>
    </row>
    <row r="73" spans="1:20">
      <c r="Q73" s="69"/>
      <c r="R73" s="69"/>
      <c r="S73" s="69"/>
      <c r="T73" s="69"/>
    </row>
  </sheetData>
  <dataConsolidate/>
  <mergeCells count="134">
    <mergeCell ref="B71:O71"/>
    <mergeCell ref="B72:C72"/>
    <mergeCell ref="D72:O72"/>
    <mergeCell ref="B66:O66"/>
    <mergeCell ref="B67:C67"/>
    <mergeCell ref="D67:O67"/>
    <mergeCell ref="D68:O68"/>
    <mergeCell ref="D69:O69"/>
    <mergeCell ref="D70:O70"/>
    <mergeCell ref="B61:O61"/>
    <mergeCell ref="D62:O62"/>
    <mergeCell ref="D63:O63"/>
    <mergeCell ref="D64:O64"/>
    <mergeCell ref="B65:C65"/>
    <mergeCell ref="D65:O65"/>
    <mergeCell ref="B58:C58"/>
    <mergeCell ref="D58:I58"/>
    <mergeCell ref="J58:O58"/>
    <mergeCell ref="B59:O59"/>
    <mergeCell ref="B60:C60"/>
    <mergeCell ref="D60:O60"/>
    <mergeCell ref="D56:F56"/>
    <mergeCell ref="G56:I56"/>
    <mergeCell ref="J56:L56"/>
    <mergeCell ref="M56:O56"/>
    <mergeCell ref="D57:F57"/>
    <mergeCell ref="G57:I57"/>
    <mergeCell ref="J57:L57"/>
    <mergeCell ref="M57:O57"/>
    <mergeCell ref="D54:F54"/>
    <mergeCell ref="G54:I54"/>
    <mergeCell ref="J54:L54"/>
    <mergeCell ref="M54:O54"/>
    <mergeCell ref="D55:F55"/>
    <mergeCell ref="G55:I55"/>
    <mergeCell ref="J55:L55"/>
    <mergeCell ref="M55:O55"/>
    <mergeCell ref="D52:I52"/>
    <mergeCell ref="J52:O52"/>
    <mergeCell ref="D53:F53"/>
    <mergeCell ref="G53:I53"/>
    <mergeCell ref="J53:L53"/>
    <mergeCell ref="M53:O53"/>
    <mergeCell ref="B48:C48"/>
    <mergeCell ref="D48:O48"/>
    <mergeCell ref="B49:O49"/>
    <mergeCell ref="B50:C50"/>
    <mergeCell ref="D50:O50"/>
    <mergeCell ref="B51:O51"/>
    <mergeCell ref="D45:I45"/>
    <mergeCell ref="J45:O45"/>
    <mergeCell ref="D46:I46"/>
    <mergeCell ref="J46:O46"/>
    <mergeCell ref="D47:I47"/>
    <mergeCell ref="J47:O47"/>
    <mergeCell ref="D42:I42"/>
    <mergeCell ref="J42:O42"/>
    <mergeCell ref="D43:I43"/>
    <mergeCell ref="J43:O43"/>
    <mergeCell ref="D44:I44"/>
    <mergeCell ref="J44:O44"/>
    <mergeCell ref="D39:I39"/>
    <mergeCell ref="J39:O39"/>
    <mergeCell ref="D40:I40"/>
    <mergeCell ref="J40:O40"/>
    <mergeCell ref="D41:I41"/>
    <mergeCell ref="J41:O41"/>
    <mergeCell ref="D36:I36"/>
    <mergeCell ref="J36:O36"/>
    <mergeCell ref="D37:I37"/>
    <mergeCell ref="J37:O37"/>
    <mergeCell ref="D38:I38"/>
    <mergeCell ref="J38:O38"/>
    <mergeCell ref="D30:O30"/>
    <mergeCell ref="D31:O31"/>
    <mergeCell ref="D32:O32"/>
    <mergeCell ref="D33:O33"/>
    <mergeCell ref="D34:O34"/>
    <mergeCell ref="B35:C35"/>
    <mergeCell ref="D35:O35"/>
    <mergeCell ref="D27:I27"/>
    <mergeCell ref="J27:O27"/>
    <mergeCell ref="D28:I28"/>
    <mergeCell ref="J28:O28"/>
    <mergeCell ref="B29:C29"/>
    <mergeCell ref="D29:O29"/>
    <mergeCell ref="D24:I24"/>
    <mergeCell ref="J24:O24"/>
    <mergeCell ref="D25:I25"/>
    <mergeCell ref="J25:O25"/>
    <mergeCell ref="D26:I26"/>
    <mergeCell ref="J26:O26"/>
    <mergeCell ref="D22:F22"/>
    <mergeCell ref="G22:I22"/>
    <mergeCell ref="J22:L22"/>
    <mergeCell ref="M22:O22"/>
    <mergeCell ref="B23:C23"/>
    <mergeCell ref="D23:O23"/>
    <mergeCell ref="D20:F20"/>
    <mergeCell ref="G20:I20"/>
    <mergeCell ref="J20:L20"/>
    <mergeCell ref="M20:O20"/>
    <mergeCell ref="D21:F21"/>
    <mergeCell ref="G21:I21"/>
    <mergeCell ref="J21:L21"/>
    <mergeCell ref="M21:O21"/>
    <mergeCell ref="D18:F18"/>
    <mergeCell ref="G18:I18"/>
    <mergeCell ref="J18:L18"/>
    <mergeCell ref="M18:O18"/>
    <mergeCell ref="D19:F19"/>
    <mergeCell ref="G19:I19"/>
    <mergeCell ref="J19:L19"/>
    <mergeCell ref="M19:O19"/>
    <mergeCell ref="B14:C14"/>
    <mergeCell ref="D14:O14"/>
    <mergeCell ref="B15:O15"/>
    <mergeCell ref="D16:O16"/>
    <mergeCell ref="D17:F17"/>
    <mergeCell ref="G17:I17"/>
    <mergeCell ref="J17:L17"/>
    <mergeCell ref="M17:O17"/>
    <mergeCell ref="D8:O8"/>
    <mergeCell ref="D9:O9"/>
    <mergeCell ref="D10:O10"/>
    <mergeCell ref="B11:O11"/>
    <mergeCell ref="D12:O12"/>
    <mergeCell ref="D13:O13"/>
    <mergeCell ref="B2:C3"/>
    <mergeCell ref="D2:O4"/>
    <mergeCell ref="B4:C4"/>
    <mergeCell ref="D5:O5"/>
    <mergeCell ref="D6:O6"/>
    <mergeCell ref="D7:O7"/>
  </mergeCells>
  <dataValidations count="2">
    <dataValidation type="list" allowBlank="1" showInputMessage="1" showErrorMessage="1" sqref="D8:O8" xr:uid="{87B0F3E8-E67F-45A6-BB6D-872A81BB8736}">
      <formula1>"LKA,LKA and ELK"</formula1>
    </dataValidation>
    <dataValidation type="list" allowBlank="1" showInputMessage="1" showErrorMessage="1" sqref="D7:O7" xr:uid="{42E1F882-E50D-47E3-92E9-CF2B8DCA8343}">
      <formula1>"YES,NO"</formula1>
    </dataValidation>
  </dataValidations>
  <pageMargins left="0.8" right="0.44" top="0.53" bottom="1" header="0.5" footer="0.5"/>
  <pageSetup paperSize="9" scale="51"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FB5432-0CD2-4001-9007-F289D67A0DC9}">
  <sheetPr codeName="Sheet19">
    <tabColor rgb="FF7030A0"/>
    <pageSetUpPr fitToPage="1"/>
  </sheetPr>
  <dimension ref="A1:F72"/>
  <sheetViews>
    <sheetView topLeftCell="A48" zoomScaleNormal="100" workbookViewId="0">
      <selection activeCell="J71" sqref="J71"/>
    </sheetView>
  </sheetViews>
  <sheetFormatPr defaultColWidth="8.7109375" defaultRowHeight="12.75"/>
  <cols>
    <col min="1" max="2" width="8.7109375" style="20"/>
    <col min="3" max="3" width="47.7109375" style="20" customWidth="1"/>
    <col min="4" max="5" width="18.5703125" style="20" customWidth="1"/>
    <col min="6" max="6" width="8.7109375" style="41" hidden="1" customWidth="1"/>
    <col min="7" max="16384" width="8.7109375" style="20"/>
  </cols>
  <sheetData>
    <row r="1" spans="1:6" ht="13.5" thickBot="1"/>
    <row r="2" spans="1:6" s="26" customFormat="1" ht="12.75" customHeight="1">
      <c r="B2" s="745" t="s">
        <v>768</v>
      </c>
      <c r="C2" s="746"/>
      <c r="D2" s="749"/>
      <c r="E2" s="750"/>
      <c r="F2" s="263"/>
    </row>
    <row r="3" spans="1:6" s="26" customFormat="1" ht="15" customHeight="1">
      <c r="B3" s="747"/>
      <c r="C3" s="748"/>
      <c r="D3" s="751"/>
      <c r="E3" s="752"/>
      <c r="F3" s="263"/>
    </row>
    <row r="4" spans="1:6" ht="15" customHeight="1" thickBot="1">
      <c r="B4" s="753"/>
      <c r="C4" s="754"/>
      <c r="D4" s="239" t="s">
        <v>13</v>
      </c>
      <c r="E4" s="264" t="s">
        <v>15</v>
      </c>
    </row>
    <row r="5" spans="1:6" s="93" customFormat="1" ht="15" customHeight="1">
      <c r="A5" s="20"/>
      <c r="B5" s="33" t="s">
        <v>29</v>
      </c>
      <c r="C5" s="265"/>
      <c r="D5" s="588"/>
      <c r="E5" s="590"/>
      <c r="F5" s="41"/>
    </row>
    <row r="6" spans="1:6" s="93" customFormat="1" ht="15" customHeight="1" thickBot="1">
      <c r="A6" s="20"/>
      <c r="B6" s="266"/>
      <c r="C6" s="267" t="s">
        <v>53</v>
      </c>
      <c r="D6" s="755"/>
      <c r="E6" s="756"/>
      <c r="F6" s="268">
        <f>D6</f>
        <v>0</v>
      </c>
    </row>
    <row r="7" spans="1:6" s="93" customFormat="1" ht="15" customHeight="1" thickBot="1">
      <c r="A7" s="20"/>
      <c r="B7" s="20"/>
      <c r="C7" s="26"/>
      <c r="D7" s="20"/>
      <c r="E7" s="20"/>
      <c r="F7" s="41"/>
    </row>
    <row r="8" spans="1:6" s="93" customFormat="1" ht="15" customHeight="1">
      <c r="A8" s="20"/>
      <c r="B8" s="95" t="s">
        <v>58</v>
      </c>
      <c r="C8" s="269"/>
      <c r="D8" s="588"/>
      <c r="E8" s="590"/>
      <c r="F8" s="41"/>
    </row>
    <row r="9" spans="1:6" s="93" customFormat="1" ht="15" customHeight="1">
      <c r="A9" s="20"/>
      <c r="B9" s="25"/>
      <c r="C9" s="270" t="s">
        <v>6</v>
      </c>
      <c r="D9" s="741"/>
      <c r="E9" s="742"/>
      <c r="F9" s="268"/>
    </row>
    <row r="10" spans="1:6" s="93" customFormat="1" ht="15" customHeight="1">
      <c r="A10" s="20"/>
      <c r="B10" s="25"/>
      <c r="C10" s="270" t="s">
        <v>736</v>
      </c>
      <c r="D10" s="237"/>
      <c r="E10" s="271">
        <f>D10</f>
        <v>0</v>
      </c>
      <c r="F10" s="41"/>
    </row>
    <row r="11" spans="1:6" s="93" customFormat="1" ht="15" customHeight="1">
      <c r="A11" s="20"/>
      <c r="B11" s="25"/>
      <c r="C11" s="270" t="s">
        <v>737</v>
      </c>
      <c r="D11" s="272"/>
      <c r="E11" s="271"/>
      <c r="F11" s="41"/>
    </row>
    <row r="12" spans="1:6" s="93" customFormat="1" ht="15" customHeight="1">
      <c r="A12" s="20"/>
      <c r="B12" s="25"/>
      <c r="C12" s="273" t="s">
        <v>738</v>
      </c>
      <c r="D12" s="237"/>
      <c r="E12" s="274">
        <f>D12</f>
        <v>0</v>
      </c>
      <c r="F12" s="41"/>
    </row>
    <row r="13" spans="1:6" s="93" customFormat="1" ht="15" customHeight="1">
      <c r="A13" s="20"/>
      <c r="B13" s="25"/>
      <c r="C13" s="52" t="s">
        <v>739</v>
      </c>
      <c r="D13" s="237"/>
      <c r="E13" s="274">
        <f>D13</f>
        <v>0</v>
      </c>
      <c r="F13" s="41"/>
    </row>
    <row r="14" spans="1:6" s="93" customFormat="1" ht="15" customHeight="1">
      <c r="A14" s="20"/>
      <c r="B14" s="25"/>
      <c r="C14" s="52" t="s">
        <v>61</v>
      </c>
      <c r="D14" s="275"/>
      <c r="E14" s="238" t="str">
        <f>IF(D14="","",IF(D14&lt;&gt;"Other","Pass","Fail"))</f>
        <v/>
      </c>
      <c r="F14" s="41"/>
    </row>
    <row r="15" spans="1:6" s="278" customFormat="1" ht="15" customHeight="1">
      <c r="A15" s="26"/>
      <c r="B15" s="276"/>
      <c r="C15" s="277" t="s">
        <v>740</v>
      </c>
      <c r="D15" s="757">
        <f>IF(COUNTIFS(E10:E14,"Pass")=4,0.5,0)</f>
        <v>0</v>
      </c>
      <c r="E15" s="758"/>
      <c r="F15" s="263"/>
    </row>
    <row r="16" spans="1:6" s="93" customFormat="1" ht="15" customHeight="1">
      <c r="A16" s="20"/>
      <c r="B16" s="279"/>
      <c r="C16" s="51" t="s">
        <v>741</v>
      </c>
      <c r="D16" s="743"/>
      <c r="E16" s="744"/>
      <c r="F16" s="41"/>
    </row>
    <row r="17" spans="1:6" s="93" customFormat="1" ht="15" customHeight="1">
      <c r="A17" s="20"/>
      <c r="B17" s="25"/>
      <c r="C17" s="94" t="s">
        <v>87</v>
      </c>
      <c r="D17" s="237"/>
      <c r="E17" s="280">
        <f>IF(D17="Pass",2,0)</f>
        <v>0</v>
      </c>
      <c r="F17" s="41"/>
    </row>
    <row r="18" spans="1:6" s="93" customFormat="1" ht="15" customHeight="1">
      <c r="A18" s="20"/>
      <c r="B18" s="25"/>
      <c r="C18" s="94" t="s">
        <v>88</v>
      </c>
      <c r="D18" s="237"/>
      <c r="E18" s="280">
        <f>IF(D18="Pass",2,0)</f>
        <v>0</v>
      </c>
      <c r="F18" s="41"/>
    </row>
    <row r="19" spans="1:6" s="93" customFormat="1" ht="15" customHeight="1">
      <c r="A19" s="20"/>
      <c r="B19" s="25"/>
      <c r="C19" s="94" t="s">
        <v>89</v>
      </c>
      <c r="D19" s="237"/>
      <c r="E19" s="280">
        <f>IF(D19="Pass",3,0)</f>
        <v>0</v>
      </c>
      <c r="F19" s="41"/>
    </row>
    <row r="20" spans="1:6" s="93" customFormat="1" ht="15" customHeight="1">
      <c r="A20" s="20"/>
      <c r="B20" s="25"/>
      <c r="C20" s="94" t="s">
        <v>94</v>
      </c>
      <c r="D20" s="237"/>
      <c r="E20" s="280">
        <f>IF(D20="Pass",1,0)</f>
        <v>0</v>
      </c>
      <c r="F20" s="41"/>
    </row>
    <row r="21" spans="1:6" s="93" customFormat="1" ht="15" customHeight="1">
      <c r="A21" s="20"/>
      <c r="B21" s="25"/>
      <c r="C21" s="94" t="s">
        <v>90</v>
      </c>
      <c r="D21" s="237"/>
      <c r="E21" s="280">
        <f>IF(D21="Pass",1,0)</f>
        <v>0</v>
      </c>
      <c r="F21" s="41"/>
    </row>
    <row r="22" spans="1:6" s="93" customFormat="1" ht="15" customHeight="1">
      <c r="A22" s="20"/>
      <c r="B22" s="25"/>
      <c r="C22" s="94" t="s">
        <v>95</v>
      </c>
      <c r="D22" s="237"/>
      <c r="E22" s="280">
        <f>IF(D22="Pass",1,0)</f>
        <v>0</v>
      </c>
      <c r="F22" s="41"/>
    </row>
    <row r="23" spans="1:6" s="93" customFormat="1" ht="15" customHeight="1">
      <c r="A23" s="20"/>
      <c r="B23" s="25"/>
      <c r="C23" s="94" t="s">
        <v>91</v>
      </c>
      <c r="D23" s="237"/>
      <c r="E23" s="280">
        <f>IF(D23="Pass",2,0)</f>
        <v>0</v>
      </c>
      <c r="F23" s="41"/>
    </row>
    <row r="24" spans="1:6" s="93" customFormat="1" ht="15" customHeight="1">
      <c r="A24" s="20"/>
      <c r="B24" s="25"/>
      <c r="C24" s="94" t="s">
        <v>92</v>
      </c>
      <c r="D24" s="237"/>
      <c r="E24" s="280">
        <f>IF(D24="Pass",3,0)</f>
        <v>0</v>
      </c>
      <c r="F24" s="41"/>
    </row>
    <row r="25" spans="1:6" s="93" customFormat="1" ht="15" customHeight="1">
      <c r="A25" s="20"/>
      <c r="B25" s="25"/>
      <c r="C25" s="94" t="s">
        <v>93</v>
      </c>
      <c r="D25" s="237"/>
      <c r="E25" s="280">
        <f>IF(D25="Pass",2,0)</f>
        <v>0</v>
      </c>
      <c r="F25" s="41"/>
    </row>
    <row r="26" spans="1:6" s="93" customFormat="1" ht="15" customHeight="1">
      <c r="A26" s="20"/>
      <c r="B26" s="25"/>
      <c r="C26" s="94" t="s">
        <v>96</v>
      </c>
      <c r="D26" s="237"/>
      <c r="E26" s="280">
        <f>IF(D26="Pass",3,0)</f>
        <v>0</v>
      </c>
      <c r="F26" s="41"/>
    </row>
    <row r="27" spans="1:6" s="93" customFormat="1" ht="15" customHeight="1">
      <c r="A27" s="20"/>
      <c r="B27" s="281"/>
      <c r="C27" s="282" t="s">
        <v>742</v>
      </c>
      <c r="D27" s="283"/>
      <c r="E27" s="284">
        <f>SUM(E17:E26)</f>
        <v>0</v>
      </c>
      <c r="F27" s="41"/>
    </row>
    <row r="28" spans="1:6" s="93" customFormat="1" ht="15" customHeight="1">
      <c r="A28" s="20"/>
      <c r="B28" s="25"/>
      <c r="C28" s="51" t="s">
        <v>743</v>
      </c>
      <c r="D28" s="285"/>
      <c r="E28" s="271"/>
      <c r="F28" s="41"/>
    </row>
    <row r="29" spans="1:6" s="93" customFormat="1" ht="15" customHeight="1">
      <c r="A29" s="20"/>
      <c r="B29" s="25"/>
      <c r="C29" s="94" t="s">
        <v>744</v>
      </c>
      <c r="D29" s="237"/>
      <c r="E29" s="280">
        <f>IF(AND(D29="Pass",IF(LEFT(D$55,1)="I",1,0)=1),2,0)</f>
        <v>0</v>
      </c>
      <c r="F29" s="41"/>
    </row>
    <row r="30" spans="1:6" s="93" customFormat="1" ht="15" customHeight="1">
      <c r="A30" s="20"/>
      <c r="B30" s="25"/>
      <c r="C30" s="94" t="s">
        <v>745</v>
      </c>
      <c r="D30" s="237"/>
      <c r="E30" s="280">
        <f>IF(AND(D30="Pass",IF(LEFT(D$55,1)="I",1,0)=1),2,0)</f>
        <v>0</v>
      </c>
      <c r="F30" s="41"/>
    </row>
    <row r="31" spans="1:6" s="93" customFormat="1" ht="15" customHeight="1">
      <c r="A31" s="20"/>
      <c r="B31" s="25"/>
      <c r="C31" s="94" t="s">
        <v>746</v>
      </c>
      <c r="D31" s="237"/>
      <c r="E31" s="280">
        <f>IF(AND(D31="Pass",IF(LEFT(D$55,1)="I",1,0)=1),1,0)</f>
        <v>0</v>
      </c>
      <c r="F31" s="41"/>
    </row>
    <row r="32" spans="1:6" s="93" customFormat="1" ht="15" customHeight="1">
      <c r="A32" s="20"/>
      <c r="B32" s="25"/>
      <c r="C32" s="94" t="s">
        <v>747</v>
      </c>
      <c r="D32" s="237"/>
      <c r="E32" s="280">
        <f>IF(D32="Pass",2,0)</f>
        <v>0</v>
      </c>
      <c r="F32" s="41"/>
    </row>
    <row r="33" spans="1:6" s="93" customFormat="1" ht="15" customHeight="1">
      <c r="A33" s="20"/>
      <c r="B33" s="25"/>
      <c r="C33" s="94" t="s">
        <v>748</v>
      </c>
      <c r="D33" s="237"/>
      <c r="E33" s="280">
        <f>IF(D33="Pass",1,0)</f>
        <v>0</v>
      </c>
      <c r="F33" s="41"/>
    </row>
    <row r="34" spans="1:6" s="93" customFormat="1" ht="15" customHeight="1">
      <c r="A34" s="20"/>
      <c r="B34" s="25"/>
      <c r="C34" s="94" t="s">
        <v>749</v>
      </c>
      <c r="D34" s="237"/>
      <c r="E34" s="280">
        <f>IF(D34="Pass",1,0)</f>
        <v>0</v>
      </c>
      <c r="F34" s="41"/>
    </row>
    <row r="35" spans="1:6" s="93" customFormat="1" ht="15" customHeight="1">
      <c r="A35" s="20"/>
      <c r="B35" s="25"/>
      <c r="C35" s="94" t="s">
        <v>750</v>
      </c>
      <c r="D35" s="237"/>
      <c r="E35" s="280">
        <f>IF(D35="Pass",1,0)</f>
        <v>0</v>
      </c>
      <c r="F35" s="41"/>
    </row>
    <row r="36" spans="1:6" s="93" customFormat="1" ht="15" customHeight="1">
      <c r="A36" s="20"/>
      <c r="B36" s="281"/>
      <c r="C36" s="282" t="s">
        <v>751</v>
      </c>
      <c r="D36" s="283"/>
      <c r="E36" s="284">
        <f>SUM(E29:E35)</f>
        <v>0</v>
      </c>
      <c r="F36" s="41"/>
    </row>
    <row r="37" spans="1:6" s="93" customFormat="1" ht="15" customHeight="1">
      <c r="A37" s="20"/>
      <c r="B37" s="25"/>
      <c r="C37" s="51" t="s">
        <v>752</v>
      </c>
      <c r="D37" s="285"/>
      <c r="E37" s="271"/>
      <c r="F37" s="41"/>
    </row>
    <row r="38" spans="1:6" s="93" customFormat="1" ht="15" customHeight="1">
      <c r="A38" s="20"/>
      <c r="B38" s="25"/>
      <c r="C38" s="286" t="s">
        <v>753</v>
      </c>
      <c r="D38" s="237"/>
      <c r="E38" s="280">
        <f>IF(D38="Pass",2,0)</f>
        <v>0</v>
      </c>
      <c r="F38" s="41"/>
    </row>
    <row r="39" spans="1:6" s="93" customFormat="1" ht="15" customHeight="1">
      <c r="A39" s="20"/>
      <c r="B39" s="25"/>
      <c r="C39" s="286" t="s">
        <v>754</v>
      </c>
      <c r="D39" s="237"/>
      <c r="E39" s="280">
        <f>IF(D39="Pass",1,0)</f>
        <v>0</v>
      </c>
      <c r="F39" s="41"/>
    </row>
    <row r="40" spans="1:6" s="93" customFormat="1" ht="15" customHeight="1">
      <c r="A40" s="20"/>
      <c r="B40" s="25"/>
      <c r="C40" s="286" t="s">
        <v>755</v>
      </c>
      <c r="D40" s="237"/>
      <c r="E40" s="280">
        <f t="shared" ref="E40:E46" si="0">IF(D40="Pass",1,0)</f>
        <v>0</v>
      </c>
      <c r="F40" s="41"/>
    </row>
    <row r="41" spans="1:6" s="93" customFormat="1" ht="15" customHeight="1">
      <c r="A41" s="20"/>
      <c r="B41" s="25"/>
      <c r="C41" s="286" t="s">
        <v>756</v>
      </c>
      <c r="D41" s="237"/>
      <c r="E41" s="280">
        <f t="shared" si="0"/>
        <v>0</v>
      </c>
      <c r="F41" s="41"/>
    </row>
    <row r="42" spans="1:6" s="93" customFormat="1" ht="15" customHeight="1">
      <c r="A42" s="20"/>
      <c r="B42" s="25"/>
      <c r="C42" s="286" t="s">
        <v>757</v>
      </c>
      <c r="D42" s="237"/>
      <c r="E42" s="280">
        <f t="shared" si="0"/>
        <v>0</v>
      </c>
      <c r="F42" s="41"/>
    </row>
    <row r="43" spans="1:6" s="93" customFormat="1" ht="15" customHeight="1">
      <c r="A43" s="20"/>
      <c r="B43" s="25"/>
      <c r="C43" s="286" t="s">
        <v>758</v>
      </c>
      <c r="D43" s="237"/>
      <c r="E43" s="280">
        <f t="shared" si="0"/>
        <v>0</v>
      </c>
      <c r="F43" s="41"/>
    </row>
    <row r="44" spans="1:6" s="93" customFormat="1" ht="15" customHeight="1">
      <c r="A44" s="20"/>
      <c r="B44" s="25"/>
      <c r="C44" s="286" t="s">
        <v>759</v>
      </c>
      <c r="D44" s="237"/>
      <c r="E44" s="280">
        <f t="shared" si="0"/>
        <v>0</v>
      </c>
      <c r="F44" s="41"/>
    </row>
    <row r="45" spans="1:6" s="93" customFormat="1" ht="15" customHeight="1">
      <c r="A45" s="20"/>
      <c r="B45" s="25"/>
      <c r="C45" s="286" t="s">
        <v>760</v>
      </c>
      <c r="D45" s="237"/>
      <c r="E45" s="280">
        <f t="shared" si="0"/>
        <v>0</v>
      </c>
      <c r="F45" s="41"/>
    </row>
    <row r="46" spans="1:6" s="93" customFormat="1" ht="15" customHeight="1">
      <c r="A46" s="20"/>
      <c r="B46" s="25"/>
      <c r="C46" s="286" t="s">
        <v>761</v>
      </c>
      <c r="D46" s="237"/>
      <c r="E46" s="280">
        <f t="shared" si="0"/>
        <v>0</v>
      </c>
      <c r="F46" s="41"/>
    </row>
    <row r="47" spans="1:6" s="93" customFormat="1" ht="15" customHeight="1">
      <c r="A47" s="20"/>
      <c r="B47" s="281"/>
      <c r="C47" s="287" t="s">
        <v>762</v>
      </c>
      <c r="D47" s="283"/>
      <c r="E47" s="284">
        <f>SUM(E38:E46)</f>
        <v>0</v>
      </c>
      <c r="F47" s="41"/>
    </row>
    <row r="48" spans="1:6" s="93" customFormat="1" ht="15" customHeight="1">
      <c r="A48" s="20"/>
      <c r="B48" s="25"/>
      <c r="C48" s="51" t="s">
        <v>763</v>
      </c>
      <c r="D48" s="285"/>
      <c r="E48" s="271"/>
      <c r="F48" s="41"/>
    </row>
    <row r="49" spans="1:6" s="93" customFormat="1" ht="15" customHeight="1">
      <c r="A49" s="20"/>
      <c r="B49" s="25"/>
      <c r="C49" s="51"/>
      <c r="D49" s="237" t="s">
        <v>764</v>
      </c>
      <c r="E49" s="280">
        <f>IF(D49="Quarterly",5,IF(D49="Continuous",10,0))</f>
        <v>10</v>
      </c>
      <c r="F49" s="41"/>
    </row>
    <row r="50" spans="1:6" s="93" customFormat="1" ht="15" customHeight="1">
      <c r="A50" s="20"/>
      <c r="B50" s="281"/>
      <c r="C50" s="287" t="s">
        <v>765</v>
      </c>
      <c r="D50" s="283"/>
      <c r="E50" s="284">
        <f>E49</f>
        <v>10</v>
      </c>
      <c r="F50" s="41"/>
    </row>
    <row r="51" spans="1:6" s="93" customFormat="1" ht="15" customHeight="1" thickBot="1">
      <c r="A51" s="20"/>
      <c r="B51" s="25"/>
      <c r="C51" s="286"/>
      <c r="D51" s="285"/>
      <c r="E51" s="271"/>
      <c r="F51" s="41"/>
    </row>
    <row r="52" spans="1:6" s="93" customFormat="1" ht="15" customHeight="1" thickBot="1">
      <c r="A52" s="20"/>
      <c r="B52" s="572" t="s">
        <v>59</v>
      </c>
      <c r="C52" s="573"/>
      <c r="D52" s="648">
        <f>IF(D15=0,0,D15+E27*(0.25/20)+E36*(0.25/10)+E47*(0.25/10)+E50*(0.25/10))</f>
        <v>0</v>
      </c>
      <c r="E52" s="650"/>
      <c r="F52" s="41"/>
    </row>
    <row r="53" spans="1:6" s="93" customFormat="1" ht="15" customHeight="1" thickBot="1">
      <c r="A53" s="20"/>
      <c r="B53" s="20"/>
      <c r="C53" s="26"/>
      <c r="D53" s="20"/>
      <c r="E53" s="20"/>
      <c r="F53" s="41"/>
    </row>
    <row r="54" spans="1:6" s="93" customFormat="1" ht="15" customHeight="1">
      <c r="A54" s="20"/>
      <c r="B54" s="95" t="s">
        <v>98</v>
      </c>
      <c r="C54" s="269"/>
      <c r="D54" s="588"/>
      <c r="E54" s="590"/>
      <c r="F54" s="41"/>
    </row>
    <row r="55" spans="1:6" s="93" customFormat="1" ht="15" customHeight="1">
      <c r="A55" s="20"/>
      <c r="B55" s="279"/>
      <c r="C55" s="51" t="s">
        <v>766</v>
      </c>
      <c r="D55" s="741"/>
      <c r="E55" s="742"/>
      <c r="F55" s="288"/>
    </row>
    <row r="56" spans="1:6" s="93" customFormat="1" ht="15" customHeight="1">
      <c r="A56" s="20"/>
      <c r="B56" s="279"/>
      <c r="C56" s="51" t="s">
        <v>767</v>
      </c>
      <c r="D56" s="743"/>
      <c r="E56" s="744"/>
      <c r="F56" s="41"/>
    </row>
    <row r="57" spans="1:6" s="93" customFormat="1" ht="15" customHeight="1">
      <c r="A57" s="20"/>
      <c r="B57" s="279"/>
      <c r="C57" s="53" t="s">
        <v>64</v>
      </c>
      <c r="D57" s="743"/>
      <c r="E57" s="744"/>
      <c r="F57" s="41"/>
    </row>
    <row r="58" spans="1:6" s="93" customFormat="1" ht="15" customHeight="1">
      <c r="A58" s="20"/>
      <c r="B58" s="279"/>
      <c r="C58" s="52" t="s">
        <v>68</v>
      </c>
      <c r="D58" s="289"/>
      <c r="E58" s="274" t="str">
        <f>IF(AND(D58&lt;&gt;"",D58&gt;=45),"Pass","Fail")</f>
        <v>Fail</v>
      </c>
      <c r="F58" s="41"/>
    </row>
    <row r="59" spans="1:6" s="93" customFormat="1" ht="15" customHeight="1">
      <c r="A59" s="20"/>
      <c r="B59" s="279"/>
      <c r="C59" s="52" t="s">
        <v>80</v>
      </c>
      <c r="D59" s="285" t="str">
        <f>IF(D58="","",50-D58)</f>
        <v/>
      </c>
      <c r="E59" s="274"/>
      <c r="F59" s="41"/>
    </row>
    <row r="60" spans="1:6" s="93" customFormat="1" ht="15" customHeight="1">
      <c r="A60" s="20"/>
      <c r="B60" s="279"/>
      <c r="C60" s="53" t="s">
        <v>65</v>
      </c>
      <c r="D60" s="272"/>
      <c r="E60" s="290"/>
      <c r="F60" s="41"/>
    </row>
    <row r="61" spans="1:6" s="93" customFormat="1" ht="15" customHeight="1">
      <c r="A61" s="20"/>
      <c r="B61" s="279"/>
      <c r="C61" s="52" t="s">
        <v>68</v>
      </c>
      <c r="D61" s="289"/>
      <c r="E61" s="274" t="str">
        <f>IF(AND(D61&lt;&gt;"",D61&gt;=75),"Pass","Fail")</f>
        <v>Fail</v>
      </c>
      <c r="F61" s="41"/>
    </row>
    <row r="62" spans="1:6" s="93" customFormat="1" ht="15" customHeight="1">
      <c r="A62" s="20"/>
      <c r="B62" s="279"/>
      <c r="C62" s="52" t="s">
        <v>80</v>
      </c>
      <c r="D62" s="285" t="str">
        <f>IF(D61="","",80-D61)</f>
        <v/>
      </c>
      <c r="E62" s="274"/>
      <c r="F62" s="41"/>
    </row>
    <row r="63" spans="1:6" s="93" customFormat="1" ht="15" customHeight="1">
      <c r="A63" s="20"/>
      <c r="B63" s="279"/>
      <c r="C63" s="53" t="s">
        <v>66</v>
      </c>
      <c r="D63" s="272"/>
      <c r="E63" s="290"/>
      <c r="F63" s="41"/>
    </row>
    <row r="64" spans="1:6" s="93" customFormat="1" ht="15" customHeight="1">
      <c r="A64" s="20"/>
      <c r="B64" s="279"/>
      <c r="C64" s="52" t="s">
        <v>68</v>
      </c>
      <c r="D64" s="289"/>
      <c r="E64" s="274" t="str">
        <f>IF(AND(D64&lt;&gt;"",D64&gt;=115),"Pass","Fail")</f>
        <v>Fail</v>
      </c>
      <c r="F64" s="41"/>
    </row>
    <row r="65" spans="1:6" s="93" customFormat="1" ht="15" customHeight="1" thickBot="1">
      <c r="A65" s="20"/>
      <c r="B65" s="279"/>
      <c r="C65" s="52" t="s">
        <v>80</v>
      </c>
      <c r="D65" s="285" t="str">
        <f>IF(D64="","",120-D64)</f>
        <v/>
      </c>
      <c r="E65" s="274"/>
      <c r="F65" s="41"/>
    </row>
    <row r="66" spans="1:6" s="93" customFormat="1" ht="15" customHeight="1" thickBot="1">
      <c r="A66" s="20"/>
      <c r="B66" s="572" t="s">
        <v>99</v>
      </c>
      <c r="C66" s="573"/>
      <c r="D66" s="648">
        <f>IF(AND(D59&lt;=5,D62&lt;=5,D65&lt;=5),IF(OR(D55="Intelligent Speed Limiter default ON",D55="Intelligent ACC"),1.5,IF(D55="Intelligent Speed Limiter not default ON",1,IF(D55="Speed limitation function",0.5,0))),0)</f>
        <v>0</v>
      </c>
      <c r="E66" s="650"/>
      <c r="F66" s="41"/>
    </row>
    <row r="67" spans="1:6" s="93" customFormat="1" ht="15" customHeight="1" thickBot="1">
      <c r="A67" s="20"/>
      <c r="B67" s="20"/>
      <c r="C67" s="26"/>
      <c r="D67" s="20"/>
      <c r="E67" s="20"/>
      <c r="F67" s="41"/>
    </row>
    <row r="68" spans="1:6" s="93" customFormat="1" ht="15" customHeight="1" thickBot="1">
      <c r="A68" s="20"/>
      <c r="B68" s="572" t="s">
        <v>9</v>
      </c>
      <c r="C68" s="573"/>
      <c r="D68" s="633"/>
      <c r="E68" s="635"/>
      <c r="F68" s="41"/>
    </row>
    <row r="69" spans="1:6" s="93" customFormat="1" ht="15" customHeight="1">
      <c r="A69" s="20"/>
      <c r="B69" s="25"/>
      <c r="C69" s="291" t="s">
        <v>60</v>
      </c>
      <c r="D69" s="737">
        <f>D52</f>
        <v>0</v>
      </c>
      <c r="E69" s="738"/>
      <c r="F69" s="41"/>
    </row>
    <row r="70" spans="1:6" ht="15" customHeight="1" thickBot="1">
      <c r="B70" s="292"/>
      <c r="C70" s="293" t="s">
        <v>101</v>
      </c>
      <c r="D70" s="739">
        <f>D66</f>
        <v>0</v>
      </c>
      <c r="E70" s="740"/>
    </row>
    <row r="71" spans="1:6" ht="15" customHeight="1" thickBot="1"/>
    <row r="72" spans="1:6" ht="21.75" thickBot="1">
      <c r="B72" s="552" t="s">
        <v>5</v>
      </c>
      <c r="C72" s="553"/>
      <c r="D72" s="554">
        <f>ROUND(SUM(D69:E70),Round)</f>
        <v>0</v>
      </c>
      <c r="E72" s="556"/>
      <c r="F72" s="294"/>
    </row>
  </sheetData>
  <mergeCells count="23">
    <mergeCell ref="D54:E54"/>
    <mergeCell ref="B2:C3"/>
    <mergeCell ref="D2:E3"/>
    <mergeCell ref="B4:C4"/>
    <mergeCell ref="D5:E5"/>
    <mergeCell ref="D6:E6"/>
    <mergeCell ref="D8:E8"/>
    <mergeCell ref="D9:E9"/>
    <mergeCell ref="D15:E15"/>
    <mergeCell ref="D16:E16"/>
    <mergeCell ref="B52:C52"/>
    <mergeCell ref="D52:E52"/>
    <mergeCell ref="D69:E69"/>
    <mergeCell ref="D70:E70"/>
    <mergeCell ref="B72:C72"/>
    <mergeCell ref="D72:E72"/>
    <mergeCell ref="D55:E55"/>
    <mergeCell ref="D56:E56"/>
    <mergeCell ref="D57:E57"/>
    <mergeCell ref="B66:C66"/>
    <mergeCell ref="D66:E66"/>
    <mergeCell ref="B68:C68"/>
    <mergeCell ref="D68:E68"/>
  </mergeCells>
  <dataValidations count="6">
    <dataValidation type="list" allowBlank="1" showInputMessage="1" showErrorMessage="1" sqref="D55:E55" xr:uid="{1EB52281-5AEF-434F-8925-08B9E34A90EB}">
      <formula1>"NA,Speed Limitation Function,Intelligent Speed Limiter not default ON,Intelligent Speed Limiter default ON,Intelligent ACC"</formula1>
    </dataValidation>
    <dataValidation type="list" allowBlank="1" showInputMessage="1" showErrorMessage="1" sqref="D49" xr:uid="{FB25A9C2-D0F4-4BD0-ADB8-7B7CF301C240}">
      <formula1>"Quarterly,Continuous,Fail"</formula1>
    </dataValidation>
    <dataValidation type="list" allowBlank="1" showInputMessage="1" showErrorMessage="1" sqref="D12:D13" xr:uid="{7792B7D6-8011-457E-BAF1-298D3442FC72}">
      <formula1>"Pass,Fail"</formula1>
    </dataValidation>
    <dataValidation type="list" allowBlank="1" showInputMessage="1" showErrorMessage="1" sqref="D14" xr:uid="{F8DED85D-AD9E-4711-A4A7-929ADECDDD7E}">
      <formula1>"Flashing Traffic Sign,Additional signal,Other"</formula1>
    </dataValidation>
    <dataValidation type="list" allowBlank="1" showInputMessage="1" showErrorMessage="1" sqref="D17:D26 D38:D46 D29:D35 D10" xr:uid="{84914929-113F-4AD2-8248-DFB1C6661A12}">
      <formula1>"Pass,Fail,N/A"</formula1>
    </dataValidation>
    <dataValidation type="list" allowBlank="1" showInputMessage="1" showErrorMessage="1" sqref="D9" xr:uid="{BC8112DE-883B-4E9C-889B-30B7C3E47E76}">
      <formula1>"Camera based,Map based,Camera &amp; Map,N/A"</formula1>
    </dataValidation>
  </dataValidations>
  <pageMargins left="0.8" right="0.44" top="0.53" bottom="1" header="0.5" footer="0.5"/>
  <pageSetup paperSize="9" scale="55"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8">
    <tabColor rgb="FF7030A0"/>
    <pageSetUpPr fitToPage="1"/>
  </sheetPr>
  <dimension ref="A1:K49"/>
  <sheetViews>
    <sheetView topLeftCell="B1" zoomScaleNormal="100" workbookViewId="0">
      <pane ySplit="4" topLeftCell="A17" activePane="bottomLeft" state="frozen"/>
      <selection activeCell="D30" sqref="D30"/>
      <selection pane="bottomLeft" activeCell="H22" sqref="H22"/>
    </sheetView>
  </sheetViews>
  <sheetFormatPr defaultColWidth="8.85546875" defaultRowHeight="12.75"/>
  <cols>
    <col min="1" max="2" width="8.85546875" style="1"/>
    <col min="3" max="3" width="40.42578125" style="1" customWidth="1"/>
    <col min="4" max="5" width="18.5703125" style="1" customWidth="1"/>
    <col min="6" max="8" width="8.85546875" style="45" customWidth="1"/>
    <col min="9" max="9" width="9.140625" style="47" customWidth="1"/>
    <col min="10" max="11" width="8.85546875" style="45"/>
    <col min="12" max="16384" width="8.85546875" style="1"/>
  </cols>
  <sheetData>
    <row r="1" spans="1:11" ht="13.5" thickBot="1"/>
    <row r="2" spans="1:11" s="3" customFormat="1" ht="12.75" customHeight="1">
      <c r="B2" s="446" t="s">
        <v>769</v>
      </c>
      <c r="C2" s="447"/>
      <c r="D2" s="764"/>
      <c r="E2" s="765"/>
      <c r="F2" s="46"/>
      <c r="G2" s="45"/>
      <c r="H2" s="46"/>
      <c r="I2" s="70"/>
      <c r="J2" s="46"/>
      <c r="K2" s="46"/>
    </row>
    <row r="3" spans="1:11" s="3" customFormat="1" ht="15" customHeight="1">
      <c r="B3" s="448"/>
      <c r="C3" s="449"/>
      <c r="D3" s="766"/>
      <c r="E3" s="767"/>
      <c r="F3" s="46"/>
      <c r="G3" s="46"/>
      <c r="H3" s="46"/>
      <c r="I3" s="70"/>
      <c r="J3" s="46"/>
      <c r="K3" s="46"/>
    </row>
    <row r="4" spans="1:11" ht="15" customHeight="1" thickBot="1">
      <c r="B4" s="450"/>
      <c r="C4" s="451"/>
      <c r="D4" s="4" t="s">
        <v>13</v>
      </c>
      <c r="E4" s="17" t="s">
        <v>15</v>
      </c>
    </row>
    <row r="5" spans="1:11" s="2" customFormat="1" ht="15" customHeight="1">
      <c r="A5" s="1"/>
      <c r="B5" s="33" t="s">
        <v>29</v>
      </c>
      <c r="C5" s="66"/>
      <c r="D5" s="652"/>
      <c r="E5" s="759"/>
      <c r="F5" s="45"/>
      <c r="G5" s="45"/>
      <c r="H5" s="45"/>
      <c r="I5" s="47"/>
      <c r="J5" s="45"/>
      <c r="K5" s="47"/>
    </row>
    <row r="6" spans="1:11" s="2" customFormat="1" ht="15" customHeight="1">
      <c r="A6" s="1"/>
      <c r="B6" s="5"/>
      <c r="C6" s="50" t="s">
        <v>53</v>
      </c>
      <c r="D6" s="768"/>
      <c r="E6" s="769"/>
      <c r="F6" s="45"/>
      <c r="G6" s="45"/>
      <c r="H6" s="45"/>
      <c r="I6" s="47"/>
      <c r="J6" s="45"/>
      <c r="K6" s="47"/>
    </row>
    <row r="7" spans="1:11" s="2" customFormat="1" ht="15" customHeight="1" thickBot="1">
      <c r="A7" s="1"/>
      <c r="B7" s="49"/>
      <c r="C7" s="67" t="s">
        <v>30</v>
      </c>
      <c r="D7" s="762"/>
      <c r="E7" s="763"/>
      <c r="F7" s="45"/>
      <c r="G7" s="45"/>
      <c r="H7" s="45"/>
      <c r="I7" s="47"/>
      <c r="J7" s="45"/>
      <c r="K7" s="47"/>
    </row>
    <row r="8" spans="1:11" s="2" customFormat="1" ht="15" customHeight="1" thickBot="1">
      <c r="A8" s="1"/>
      <c r="B8" s="1"/>
      <c r="C8" s="3"/>
      <c r="D8" s="1"/>
      <c r="E8" s="1"/>
      <c r="F8" s="45"/>
      <c r="G8" s="45"/>
      <c r="H8" s="71"/>
      <c r="I8" s="47"/>
      <c r="J8" s="45"/>
      <c r="K8" s="47"/>
    </row>
    <row r="9" spans="1:11" s="2" customFormat="1" ht="15" customHeight="1">
      <c r="A9" s="1"/>
      <c r="B9" s="9" t="s">
        <v>58</v>
      </c>
      <c r="C9" s="19"/>
      <c r="D9" s="652"/>
      <c r="E9" s="759"/>
      <c r="F9" s="45"/>
      <c r="G9" s="45"/>
      <c r="H9" s="45"/>
      <c r="I9" s="47"/>
      <c r="J9" s="45"/>
      <c r="K9" s="47"/>
    </row>
    <row r="10" spans="1:11" s="2" customFormat="1" ht="15" customHeight="1">
      <c r="A10" s="1"/>
      <c r="B10" s="7"/>
      <c r="C10" s="16" t="s">
        <v>6</v>
      </c>
      <c r="D10" s="770" t="s">
        <v>817</v>
      </c>
      <c r="E10" s="771"/>
      <c r="F10" s="72"/>
      <c r="G10" s="45"/>
      <c r="H10" s="45"/>
      <c r="I10" s="47"/>
      <c r="J10" s="45"/>
      <c r="K10" s="47"/>
    </row>
    <row r="11" spans="1:11" s="2" customFormat="1" ht="15" customHeight="1">
      <c r="A11" s="1"/>
      <c r="B11" s="7"/>
      <c r="C11" s="16" t="s">
        <v>85</v>
      </c>
      <c r="D11" s="364" t="s">
        <v>818</v>
      </c>
      <c r="E11" s="115">
        <f>IF(D11="Pass",0.5,0)</f>
        <v>0.5</v>
      </c>
      <c r="F11" s="45"/>
      <c r="G11" s="45"/>
      <c r="H11" s="45"/>
      <c r="I11" s="47"/>
      <c r="J11" s="45"/>
      <c r="K11" s="47"/>
    </row>
    <row r="12" spans="1:11" s="2" customFormat="1" ht="15" customHeight="1">
      <c r="A12" s="1"/>
      <c r="B12" s="5"/>
      <c r="C12" s="51" t="s">
        <v>86</v>
      </c>
      <c r="D12" s="772"/>
      <c r="E12" s="773"/>
      <c r="F12" s="45"/>
      <c r="G12" s="45"/>
      <c r="H12" s="45"/>
      <c r="I12" s="47"/>
      <c r="J12" s="45"/>
      <c r="K12" s="47"/>
    </row>
    <row r="13" spans="1:11" s="2" customFormat="1" ht="15" customHeight="1">
      <c r="A13" s="1"/>
      <c r="B13" s="7"/>
      <c r="C13" s="12" t="s">
        <v>87</v>
      </c>
      <c r="D13" s="364" t="s">
        <v>819</v>
      </c>
      <c r="E13" s="115">
        <f>IF(D13="Pass",0.05,0)</f>
        <v>0</v>
      </c>
      <c r="F13" s="45"/>
      <c r="G13" s="45"/>
      <c r="H13" s="45"/>
      <c r="I13" s="47"/>
      <c r="J13" s="45"/>
      <c r="K13" s="47"/>
    </row>
    <row r="14" spans="1:11" s="2" customFormat="1" ht="15" customHeight="1">
      <c r="A14" s="1"/>
      <c r="B14" s="7"/>
      <c r="C14" s="12" t="s">
        <v>88</v>
      </c>
      <c r="D14" s="364" t="s">
        <v>819</v>
      </c>
      <c r="E14" s="115">
        <f>IF(D14="Pass",0.05,0)</f>
        <v>0</v>
      </c>
      <c r="F14" s="45"/>
      <c r="G14" s="45"/>
      <c r="H14" s="45"/>
      <c r="I14" s="47"/>
      <c r="J14" s="45"/>
      <c r="K14" s="47"/>
    </row>
    <row r="15" spans="1:11" s="2" customFormat="1" ht="15" customHeight="1">
      <c r="A15" s="1"/>
      <c r="B15" s="7"/>
      <c r="C15" s="12" t="s">
        <v>89</v>
      </c>
      <c r="D15" s="364" t="s">
        <v>819</v>
      </c>
      <c r="E15" s="115">
        <f>IF(D15="Pass",0.075,0)</f>
        <v>0</v>
      </c>
      <c r="F15" s="45"/>
      <c r="G15" s="45"/>
      <c r="H15" s="45"/>
      <c r="I15" s="47"/>
      <c r="J15" s="45"/>
      <c r="K15" s="47"/>
    </row>
    <row r="16" spans="1:11" s="2" customFormat="1" ht="15" customHeight="1">
      <c r="A16" s="1"/>
      <c r="B16" s="7"/>
      <c r="C16" s="12" t="s">
        <v>94</v>
      </c>
      <c r="D16" s="364" t="s">
        <v>818</v>
      </c>
      <c r="E16" s="115">
        <f>IF(D16="Pass",0.025,0)</f>
        <v>2.5000000000000001E-2</v>
      </c>
      <c r="F16" s="45"/>
      <c r="G16" s="45"/>
      <c r="H16" s="45"/>
      <c r="I16" s="47"/>
      <c r="J16" s="45"/>
      <c r="K16" s="47"/>
    </row>
    <row r="17" spans="1:11" s="2" customFormat="1" ht="15" customHeight="1">
      <c r="A17" s="1"/>
      <c r="B17" s="7"/>
      <c r="C17" s="12" t="s">
        <v>90</v>
      </c>
      <c r="D17" s="364" t="s">
        <v>818</v>
      </c>
      <c r="E17" s="115">
        <f>IF(D17="Pass",0.025,0)</f>
        <v>2.5000000000000001E-2</v>
      </c>
      <c r="F17" s="45"/>
      <c r="G17" s="45"/>
      <c r="H17" s="45"/>
      <c r="I17" s="47"/>
      <c r="J17" s="45"/>
      <c r="K17" s="47"/>
    </row>
    <row r="18" spans="1:11" s="2" customFormat="1" ht="15" customHeight="1">
      <c r="A18" s="1"/>
      <c r="B18" s="7"/>
      <c r="C18" s="12" t="s">
        <v>95</v>
      </c>
      <c r="D18" s="364" t="s">
        <v>818</v>
      </c>
      <c r="E18" s="115">
        <f>IF(D18="Pass",0.025,0)</f>
        <v>2.5000000000000001E-2</v>
      </c>
      <c r="F18" s="45"/>
      <c r="G18" s="45"/>
      <c r="H18" s="45"/>
      <c r="I18" s="47"/>
      <c r="J18" s="45"/>
      <c r="K18" s="47"/>
    </row>
    <row r="19" spans="1:11" s="2" customFormat="1" ht="15" customHeight="1">
      <c r="A19" s="1"/>
      <c r="B19" s="7"/>
      <c r="C19" s="12" t="s">
        <v>91</v>
      </c>
      <c r="D19" s="364" t="s">
        <v>818</v>
      </c>
      <c r="E19" s="115">
        <f>IF(D19="Pass",0.05,0)</f>
        <v>0.05</v>
      </c>
      <c r="F19" s="45"/>
      <c r="G19" s="45"/>
      <c r="H19" s="45"/>
      <c r="I19" s="47"/>
      <c r="J19" s="45"/>
      <c r="K19" s="47"/>
    </row>
    <row r="20" spans="1:11" s="2" customFormat="1" ht="15" customHeight="1">
      <c r="A20" s="1"/>
      <c r="B20" s="7"/>
      <c r="C20" s="12" t="s">
        <v>92</v>
      </c>
      <c r="D20" s="364" t="s">
        <v>818</v>
      </c>
      <c r="E20" s="115">
        <f>IF(D20="Pass",0.075,0)</f>
        <v>7.4999999999999997E-2</v>
      </c>
      <c r="F20" s="45"/>
      <c r="G20" s="45"/>
      <c r="H20" s="45"/>
      <c r="I20" s="47"/>
      <c r="J20" s="45"/>
      <c r="K20" s="47"/>
    </row>
    <row r="21" spans="1:11" s="2" customFormat="1" ht="15" customHeight="1">
      <c r="A21" s="1"/>
      <c r="B21" s="7"/>
      <c r="C21" s="12" t="s">
        <v>93</v>
      </c>
      <c r="D21" s="364" t="s">
        <v>818</v>
      </c>
      <c r="E21" s="115">
        <f>IF(D21="Pass",0.05,0)</f>
        <v>0.05</v>
      </c>
      <c r="F21" s="45"/>
      <c r="G21" s="45"/>
      <c r="H21" s="45"/>
      <c r="I21" s="47"/>
      <c r="J21" s="45"/>
      <c r="K21" s="47"/>
    </row>
    <row r="22" spans="1:11" s="2" customFormat="1" ht="15" customHeight="1">
      <c r="A22" s="1"/>
      <c r="B22" s="7"/>
      <c r="C22" s="12" t="s">
        <v>96</v>
      </c>
      <c r="D22" s="364" t="s">
        <v>818</v>
      </c>
      <c r="E22" s="115">
        <f>IF(D22="Pass",0.075,0)</f>
        <v>7.4999999999999997E-2</v>
      </c>
      <c r="F22" s="45"/>
      <c r="G22" s="45"/>
      <c r="H22" s="45"/>
      <c r="I22" s="47"/>
      <c r="J22" s="45"/>
      <c r="K22" s="47"/>
    </row>
    <row r="23" spans="1:11" s="2" customFormat="1" ht="15" customHeight="1">
      <c r="A23" s="1"/>
      <c r="B23" s="7"/>
      <c r="C23" s="16" t="s">
        <v>97</v>
      </c>
      <c r="D23" s="61"/>
      <c r="E23" s="115">
        <f>IF(SUM(E13:E22)&gt;0.3,0.25,0)</f>
        <v>0.25</v>
      </c>
      <c r="F23" s="45"/>
      <c r="G23" s="45"/>
      <c r="H23" s="45"/>
      <c r="I23" s="47"/>
      <c r="J23" s="45"/>
      <c r="K23" s="47"/>
    </row>
    <row r="24" spans="1:11" s="2" customFormat="1" ht="15" customHeight="1">
      <c r="A24" s="1"/>
      <c r="B24" s="5"/>
      <c r="C24" s="52" t="s">
        <v>713</v>
      </c>
      <c r="D24" s="75"/>
      <c r="E24" s="15" t="str">
        <f>IF(D24="","",IF(D24&lt;&gt;"Other","Pass","Fail"))</f>
        <v/>
      </c>
      <c r="F24" s="247" t="s">
        <v>696</v>
      </c>
      <c r="G24" s="72"/>
      <c r="H24" s="45"/>
      <c r="I24" s="47"/>
      <c r="J24" s="45"/>
      <c r="K24" s="47"/>
    </row>
    <row r="25" spans="1:11" s="2" customFormat="1" ht="15" customHeight="1">
      <c r="A25" s="1"/>
      <c r="B25" s="7"/>
      <c r="C25" s="16" t="s">
        <v>7</v>
      </c>
      <c r="D25" s="61"/>
      <c r="E25" s="115">
        <f>IF(AND(E26="Pass",E27="Pass",E28="Pass"),0.25,0)</f>
        <v>0.25</v>
      </c>
      <c r="F25" s="45"/>
      <c r="G25" s="45"/>
      <c r="H25" s="45"/>
      <c r="I25" s="47"/>
      <c r="J25" s="45"/>
      <c r="K25" s="47"/>
    </row>
    <row r="26" spans="1:11" s="2" customFormat="1" ht="15" customHeight="1">
      <c r="A26" s="1"/>
      <c r="B26" s="5"/>
      <c r="C26" s="52" t="s">
        <v>63</v>
      </c>
      <c r="D26" s="364" t="s">
        <v>820</v>
      </c>
      <c r="E26" s="15" t="str">
        <f>IF(D26="","",IF(D26&lt;&gt;"Other","Pass","Fail"))</f>
        <v>Pass</v>
      </c>
      <c r="F26" s="45"/>
      <c r="G26" s="45"/>
      <c r="H26" s="45"/>
      <c r="I26" s="47"/>
      <c r="J26" s="45"/>
      <c r="K26" s="47"/>
    </row>
    <row r="27" spans="1:11" s="2" customFormat="1" ht="15" customHeight="1">
      <c r="A27" s="1"/>
      <c r="B27" s="5"/>
      <c r="C27" s="52" t="s">
        <v>61</v>
      </c>
      <c r="D27" s="364" t="s">
        <v>821</v>
      </c>
      <c r="E27" s="15" t="str">
        <f>IF(D27="","",IF(D27&lt;&gt;"Other","Pass","Fail"))</f>
        <v>Pass</v>
      </c>
      <c r="F27" s="45"/>
      <c r="G27" s="45"/>
      <c r="H27" s="45"/>
      <c r="I27" s="47"/>
      <c r="J27" s="45"/>
      <c r="K27" s="47"/>
    </row>
    <row r="28" spans="1:11" s="2" customFormat="1" ht="15" customHeight="1" thickBot="1">
      <c r="A28" s="1"/>
      <c r="B28" s="5"/>
      <c r="C28" s="52" t="s">
        <v>67</v>
      </c>
      <c r="D28" s="364">
        <v>10</v>
      </c>
      <c r="E28" s="15" t="str">
        <f>IF(D28="","",IF(AND(D28&lt;&gt;"",D28&gt;=10),"Pass","Fail"))</f>
        <v>Pass</v>
      </c>
      <c r="F28" s="45"/>
      <c r="G28" s="45"/>
      <c r="H28" s="45"/>
      <c r="I28" s="47"/>
      <c r="J28" s="45"/>
      <c r="K28" s="47"/>
    </row>
    <row r="29" spans="1:11" s="2" customFormat="1" ht="15" customHeight="1" thickBot="1">
      <c r="A29" s="1"/>
      <c r="B29" s="452" t="s">
        <v>59</v>
      </c>
      <c r="C29" s="453"/>
      <c r="D29" s="760">
        <f>SUM(E11:E25)</f>
        <v>1.3250000000000002</v>
      </c>
      <c r="E29" s="761"/>
      <c r="F29" s="45"/>
      <c r="G29" s="45"/>
      <c r="H29" s="45"/>
      <c r="I29" s="47"/>
      <c r="J29" s="45"/>
      <c r="K29" s="47"/>
    </row>
    <row r="30" spans="1:11" s="2" customFormat="1" ht="15" customHeight="1" thickBot="1">
      <c r="A30" s="1"/>
      <c r="B30" s="1"/>
      <c r="C30" s="3"/>
      <c r="D30" s="1"/>
      <c r="E30" s="1"/>
      <c r="F30" s="45"/>
      <c r="G30" s="45"/>
      <c r="H30" s="71"/>
      <c r="I30" s="47"/>
      <c r="J30" s="45"/>
      <c r="K30" s="47"/>
    </row>
    <row r="31" spans="1:11" s="2" customFormat="1" ht="15" customHeight="1">
      <c r="A31" s="1"/>
      <c r="B31" s="9" t="s">
        <v>98</v>
      </c>
      <c r="C31" s="19"/>
      <c r="D31" s="652"/>
      <c r="E31" s="759"/>
      <c r="F31" s="45"/>
      <c r="G31" s="47"/>
      <c r="H31" s="45"/>
      <c r="I31" s="47"/>
      <c r="J31" s="45"/>
      <c r="K31" s="47"/>
    </row>
    <row r="32" spans="1:11" s="2" customFormat="1" ht="15" customHeight="1">
      <c r="A32" s="1"/>
      <c r="B32" s="5"/>
      <c r="C32" s="51" t="s">
        <v>62</v>
      </c>
      <c r="D32" s="770" t="s">
        <v>822</v>
      </c>
      <c r="E32" s="771"/>
      <c r="F32" s="43"/>
      <c r="G32" s="45"/>
      <c r="H32" s="45"/>
      <c r="I32" s="47"/>
      <c r="J32" s="45"/>
      <c r="K32" s="47"/>
    </row>
    <row r="33" spans="1:11" s="2" customFormat="1" ht="15" customHeight="1">
      <c r="A33" s="1"/>
      <c r="B33" s="5"/>
      <c r="C33" s="51"/>
      <c r="D33" s="772"/>
      <c r="E33" s="773"/>
      <c r="F33" s="45"/>
      <c r="G33" s="45"/>
      <c r="H33" s="45"/>
      <c r="I33" s="47"/>
      <c r="J33" s="45"/>
      <c r="K33" s="47"/>
    </row>
    <row r="34" spans="1:11" s="2" customFormat="1" ht="15" customHeight="1">
      <c r="A34" s="1"/>
      <c r="B34" s="5"/>
      <c r="C34" s="53" t="s">
        <v>64</v>
      </c>
      <c r="D34" s="772"/>
      <c r="E34" s="773"/>
      <c r="F34" s="45"/>
      <c r="G34" s="45"/>
      <c r="H34" s="45"/>
      <c r="I34" s="47"/>
      <c r="J34" s="45"/>
      <c r="K34" s="47"/>
    </row>
    <row r="35" spans="1:11" s="2" customFormat="1" ht="15" customHeight="1">
      <c r="A35" s="1"/>
      <c r="B35" s="5"/>
      <c r="C35" s="52" t="s">
        <v>68</v>
      </c>
      <c r="D35" s="364">
        <v>45.96</v>
      </c>
      <c r="E35" s="15" t="str">
        <f>IF(AND(D35&lt;&gt;"",D35&gt;=45),"Pass","Fail")</f>
        <v>Pass</v>
      </c>
      <c r="F35" s="45"/>
      <c r="G35" s="45"/>
      <c r="H35" s="45"/>
      <c r="I35" s="47"/>
      <c r="J35" s="45"/>
      <c r="K35" s="47"/>
    </row>
    <row r="36" spans="1:11" s="2" customFormat="1" ht="15" customHeight="1">
      <c r="A36" s="1"/>
      <c r="B36" s="5"/>
      <c r="C36" s="52" t="s">
        <v>80</v>
      </c>
      <c r="D36" s="61">
        <f>IF(D35="","",50-D35)</f>
        <v>4.0399999999999991</v>
      </c>
      <c r="E36" s="15"/>
      <c r="F36" s="45"/>
      <c r="G36" s="45"/>
      <c r="H36" s="45"/>
      <c r="I36" s="47"/>
      <c r="J36" s="45"/>
      <c r="K36" s="47"/>
    </row>
    <row r="37" spans="1:11" s="2" customFormat="1" ht="15" customHeight="1">
      <c r="A37" s="1"/>
      <c r="B37" s="5"/>
      <c r="C37" s="53" t="s">
        <v>65</v>
      </c>
      <c r="D37" s="11"/>
      <c r="E37" s="8"/>
      <c r="F37" s="45"/>
      <c r="G37" s="45"/>
      <c r="H37" s="45"/>
      <c r="I37" s="47"/>
      <c r="J37" s="45"/>
      <c r="K37" s="47"/>
    </row>
    <row r="38" spans="1:11" s="2" customFormat="1" ht="15" customHeight="1">
      <c r="A38" s="1"/>
      <c r="B38" s="5"/>
      <c r="C38" s="52" t="s">
        <v>68</v>
      </c>
      <c r="D38" s="364">
        <v>75.28</v>
      </c>
      <c r="E38" s="15" t="str">
        <f>IF(AND(D38&lt;&gt;"",D38&gt;=75),"Pass","Fail")</f>
        <v>Pass</v>
      </c>
      <c r="F38" s="45"/>
      <c r="G38" s="45"/>
      <c r="H38" s="45"/>
      <c r="I38" s="47"/>
      <c r="J38" s="45"/>
      <c r="K38" s="47"/>
    </row>
    <row r="39" spans="1:11" s="2" customFormat="1" ht="15" customHeight="1">
      <c r="A39" s="1"/>
      <c r="B39" s="5"/>
      <c r="C39" s="52" t="s">
        <v>80</v>
      </c>
      <c r="D39" s="61">
        <f>IF(D38="","",80-D38)</f>
        <v>4.7199999999999989</v>
      </c>
      <c r="E39" s="15"/>
      <c r="F39" s="45"/>
      <c r="G39" s="45"/>
      <c r="H39" s="45"/>
      <c r="I39" s="47"/>
      <c r="J39" s="45"/>
      <c r="K39" s="47"/>
    </row>
    <row r="40" spans="1:11" s="2" customFormat="1" ht="15" customHeight="1">
      <c r="A40" s="1"/>
      <c r="B40" s="5"/>
      <c r="C40" s="53" t="s">
        <v>66</v>
      </c>
      <c r="D40" s="11"/>
      <c r="E40" s="8"/>
      <c r="F40" s="45"/>
      <c r="G40" s="45"/>
      <c r="H40" s="45"/>
      <c r="I40" s="47"/>
      <c r="J40" s="45"/>
      <c r="K40" s="47"/>
    </row>
    <row r="41" spans="1:11" s="2" customFormat="1" ht="15" customHeight="1">
      <c r="A41" s="1"/>
      <c r="B41" s="5"/>
      <c r="C41" s="52" t="s">
        <v>68</v>
      </c>
      <c r="D41" s="364">
        <v>114.38</v>
      </c>
      <c r="E41" s="15" t="str">
        <f>IF(AND(D41&lt;&gt;"",D41&gt;=115),"Pass","Fail")</f>
        <v>Fail</v>
      </c>
      <c r="F41" s="45"/>
      <c r="G41" s="45"/>
      <c r="H41" s="45"/>
      <c r="I41" s="47"/>
      <c r="J41" s="45"/>
      <c r="K41" s="47"/>
    </row>
    <row r="42" spans="1:11" s="2" customFormat="1" ht="15" customHeight="1" thickBot="1">
      <c r="A42" s="1"/>
      <c r="B42" s="5"/>
      <c r="C42" s="52" t="s">
        <v>80</v>
      </c>
      <c r="D42" s="61">
        <f>IF(D41="","",120-D41)</f>
        <v>5.6200000000000045</v>
      </c>
      <c r="E42" s="15"/>
      <c r="F42" s="45"/>
      <c r="G42" s="45"/>
      <c r="H42" s="45"/>
      <c r="I42" s="47"/>
      <c r="J42" s="45"/>
      <c r="K42" s="47"/>
    </row>
    <row r="43" spans="1:11" s="2" customFormat="1" ht="15" customHeight="1" thickBot="1">
      <c r="A43" s="1"/>
      <c r="B43" s="452" t="s">
        <v>99</v>
      </c>
      <c r="C43" s="453"/>
      <c r="D43" s="760">
        <f>IF(AND(D36&lt;=5,D39&lt;=5,D42&lt;=5),IF(D32="System advised",1.5,IF(D32="Manually set",IF(D29&gt;0,0.75,1.25),0)),0)</f>
        <v>0</v>
      </c>
      <c r="E43" s="761"/>
      <c r="F43" s="45"/>
      <c r="G43" s="45"/>
      <c r="H43" s="45"/>
      <c r="I43" s="47"/>
      <c r="J43" s="45"/>
      <c r="K43" s="47"/>
    </row>
    <row r="44" spans="1:11" s="2" customFormat="1" ht="15" customHeight="1" thickBot="1">
      <c r="A44" s="1"/>
      <c r="B44" s="1"/>
      <c r="C44" s="3"/>
      <c r="D44" s="1"/>
      <c r="E44" s="1"/>
      <c r="F44" s="45"/>
      <c r="G44" s="45"/>
      <c r="H44" s="71"/>
      <c r="I44" s="47"/>
      <c r="J44" s="45"/>
      <c r="K44" s="47"/>
    </row>
    <row r="45" spans="1:11" s="2" customFormat="1" ht="15" customHeight="1" thickBot="1">
      <c r="A45" s="1"/>
      <c r="B45" s="452" t="s">
        <v>9</v>
      </c>
      <c r="C45" s="453"/>
      <c r="D45" s="570"/>
      <c r="E45" s="780"/>
      <c r="F45" s="45"/>
      <c r="G45" s="45"/>
      <c r="H45" s="45"/>
      <c r="I45" s="47"/>
      <c r="J45" s="45"/>
      <c r="K45" s="47"/>
    </row>
    <row r="46" spans="1:11" s="2" customFormat="1" ht="15" customHeight="1">
      <c r="A46" s="1"/>
      <c r="B46" s="7"/>
      <c r="C46" s="18" t="s">
        <v>60</v>
      </c>
      <c r="D46" s="778">
        <f>D29</f>
        <v>1.3250000000000002</v>
      </c>
      <c r="E46" s="779"/>
      <c r="F46" s="45"/>
      <c r="G46" s="45"/>
      <c r="H46" s="45"/>
      <c r="I46" s="47"/>
      <c r="J46" s="45"/>
      <c r="K46" s="47"/>
    </row>
    <row r="47" spans="1:11" ht="15" customHeight="1" thickBot="1">
      <c r="B47" s="13"/>
      <c r="C47" s="14" t="s">
        <v>101</v>
      </c>
      <c r="D47" s="781">
        <f>D43</f>
        <v>0</v>
      </c>
      <c r="E47" s="782"/>
    </row>
    <row r="48" spans="1:11" ht="15" customHeight="1" thickBot="1"/>
    <row r="49" spans="2:6" ht="21.75" thickBot="1">
      <c r="B49" s="774" t="s">
        <v>5</v>
      </c>
      <c r="C49" s="775"/>
      <c r="D49" s="776">
        <f>ROUND(SUM(D46:E47),Round)</f>
        <v>1.325</v>
      </c>
      <c r="E49" s="777"/>
      <c r="F49" s="73"/>
    </row>
  </sheetData>
  <mergeCells count="22">
    <mergeCell ref="D31:E31"/>
    <mergeCell ref="D32:E32"/>
    <mergeCell ref="D47:E47"/>
    <mergeCell ref="D34:E34"/>
    <mergeCell ref="D33:E33"/>
    <mergeCell ref="B49:C49"/>
    <mergeCell ref="D49:E49"/>
    <mergeCell ref="B43:C43"/>
    <mergeCell ref="D43:E43"/>
    <mergeCell ref="D46:E46"/>
    <mergeCell ref="B45:C45"/>
    <mergeCell ref="D45:E45"/>
    <mergeCell ref="D9:E9"/>
    <mergeCell ref="B29:C29"/>
    <mergeCell ref="D29:E29"/>
    <mergeCell ref="D7:E7"/>
    <mergeCell ref="D2:E3"/>
    <mergeCell ref="D5:E5"/>
    <mergeCell ref="D6:E6"/>
    <mergeCell ref="D10:E10"/>
    <mergeCell ref="D12:E12"/>
    <mergeCell ref="B2:C4"/>
  </mergeCells>
  <phoneticPr fontId="0" type="noConversion"/>
  <dataValidations count="1">
    <dataValidation type="list" allowBlank="1" showInputMessage="1" showErrorMessage="1" sqref="D7:E7" xr:uid="{411666CC-E108-4A96-A47F-52FA6CF86E5A}">
      <formula1>"SLIF,SLIF and Speed Control Function,Speed Control Function"</formula1>
    </dataValidation>
  </dataValidations>
  <pageMargins left="0.8" right="0.44" top="0.53" bottom="1" header="0.5" footer="0.5"/>
  <pageSetup paperSize="9" scale="55"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tabColor rgb="FF7030A0"/>
    <pageSetUpPr fitToPage="1"/>
  </sheetPr>
  <dimension ref="A1:I21"/>
  <sheetViews>
    <sheetView zoomScaleNormal="100" workbookViewId="0">
      <pane ySplit="4" topLeftCell="A5" activePane="bottomLeft" state="frozen"/>
      <selection activeCell="D30" sqref="D30"/>
      <selection pane="bottomLeft" activeCell="J20" sqref="J20"/>
    </sheetView>
  </sheetViews>
  <sheetFormatPr defaultColWidth="8.85546875" defaultRowHeight="12.75"/>
  <cols>
    <col min="1" max="2" width="8.85546875" style="1"/>
    <col min="3" max="3" width="44.140625" style="1" customWidth="1"/>
    <col min="4" max="7" width="12.85546875" style="1" customWidth="1"/>
    <col min="8" max="16384" width="8.85546875" style="1"/>
  </cols>
  <sheetData>
    <row r="1" spans="1:9" ht="13.5" thickBot="1"/>
    <row r="2" spans="1:9" s="3" customFormat="1" ht="12.75" customHeight="1">
      <c r="B2" s="446" t="s">
        <v>170</v>
      </c>
      <c r="C2" s="447"/>
      <c r="D2" s="764" t="s">
        <v>11</v>
      </c>
      <c r="E2" s="801"/>
      <c r="F2" s="803" t="s">
        <v>56</v>
      </c>
      <c r="G2" s="765"/>
    </row>
    <row r="3" spans="1:9" s="3" customFormat="1" ht="15" customHeight="1">
      <c r="B3" s="448"/>
      <c r="C3" s="449"/>
      <c r="D3" s="766"/>
      <c r="E3" s="802"/>
      <c r="F3" s="804"/>
      <c r="G3" s="767"/>
    </row>
    <row r="4" spans="1:9" ht="15" customHeight="1" thickBot="1">
      <c r="B4" s="450"/>
      <c r="C4" s="451"/>
      <c r="D4" s="795" t="s">
        <v>15</v>
      </c>
      <c r="E4" s="796"/>
      <c r="F4" s="790" t="s">
        <v>15</v>
      </c>
      <c r="G4" s="791"/>
    </row>
    <row r="5" spans="1:9" ht="15" customHeight="1">
      <c r="B5" s="9" t="s">
        <v>172</v>
      </c>
      <c r="C5" s="10"/>
      <c r="D5" s="652"/>
      <c r="E5" s="653"/>
      <c r="F5" s="784"/>
      <c r="G5" s="759"/>
    </row>
    <row r="6" spans="1:9" ht="15" customHeight="1">
      <c r="B6" s="5"/>
      <c r="C6" s="6" t="s">
        <v>84</v>
      </c>
      <c r="D6" s="574"/>
      <c r="E6" s="800"/>
      <c r="F6" s="770" t="s">
        <v>816</v>
      </c>
      <c r="G6" s="785"/>
    </row>
    <row r="7" spans="1:9" ht="15" customHeight="1">
      <c r="B7" s="7"/>
      <c r="C7" s="50" t="s">
        <v>54</v>
      </c>
      <c r="D7" s="770" t="s">
        <v>771</v>
      </c>
      <c r="E7" s="785"/>
      <c r="F7" s="770" t="s">
        <v>771</v>
      </c>
      <c r="G7" s="785"/>
    </row>
    <row r="8" spans="1:9" ht="15" customHeight="1" thickBot="1">
      <c r="B8" s="7"/>
      <c r="C8" s="50" t="s">
        <v>55</v>
      </c>
      <c r="D8" s="770" t="s">
        <v>771</v>
      </c>
      <c r="E8" s="785"/>
      <c r="F8" s="770" t="s">
        <v>771</v>
      </c>
      <c r="G8" s="785"/>
    </row>
    <row r="9" spans="1:9" s="2" customFormat="1" ht="15" customHeight="1" thickBot="1">
      <c r="A9" s="1"/>
      <c r="B9" s="452" t="s">
        <v>57</v>
      </c>
      <c r="C9" s="453"/>
      <c r="D9" s="792">
        <f>IF(COUNTIF(D6:E8,"Pass")=2,1,0)</f>
        <v>1</v>
      </c>
      <c r="E9" s="793"/>
      <c r="F9" s="793">
        <f>IF(COUNTIF(F6:G8,"Pass")=3,1,0)</f>
        <v>0</v>
      </c>
      <c r="G9" s="794"/>
    </row>
    <row r="10" spans="1:9" ht="15" customHeight="1" thickBot="1"/>
    <row r="11" spans="1:9">
      <c r="B11" s="9" t="s">
        <v>173</v>
      </c>
      <c r="C11" s="96"/>
      <c r="D11" s="652"/>
      <c r="E11" s="653"/>
      <c r="F11" s="784"/>
      <c r="G11" s="759"/>
      <c r="I11" s="45"/>
    </row>
    <row r="12" spans="1:9">
      <c r="B12" s="5"/>
      <c r="C12" s="97" t="s">
        <v>73</v>
      </c>
      <c r="D12" s="770" t="s">
        <v>816</v>
      </c>
      <c r="E12" s="785"/>
      <c r="F12" s="786">
        <f>IF(AND(D12="PASS",D13="PASS"),1,0)</f>
        <v>0</v>
      </c>
      <c r="G12" s="787"/>
      <c r="I12" s="45"/>
    </row>
    <row r="13" spans="1:9" ht="13.5" thickBot="1">
      <c r="B13" s="5"/>
      <c r="C13" s="97" t="s">
        <v>203</v>
      </c>
      <c r="D13" s="770" t="s">
        <v>771</v>
      </c>
      <c r="E13" s="785"/>
      <c r="F13" s="788"/>
      <c r="G13" s="789"/>
    </row>
    <row r="14" spans="1:9" s="2" customFormat="1" ht="15.75" thickBot="1">
      <c r="A14" s="1"/>
      <c r="B14" s="452" t="s">
        <v>174</v>
      </c>
      <c r="C14" s="453"/>
      <c r="D14" s="691">
        <f>F12</f>
        <v>0</v>
      </c>
      <c r="E14" s="692"/>
      <c r="F14" s="692"/>
      <c r="G14" s="693"/>
    </row>
    <row r="15" spans="1:9" ht="13.5" thickBot="1"/>
    <row r="16" spans="1:9" s="2" customFormat="1" ht="15.75" thickBot="1">
      <c r="A16" s="1"/>
      <c r="B16" s="452" t="s">
        <v>9</v>
      </c>
      <c r="C16" s="453"/>
      <c r="D16" s="570"/>
      <c r="E16" s="783"/>
      <c r="F16" s="783"/>
      <c r="G16" s="780"/>
      <c r="H16" s="47"/>
    </row>
    <row r="17" spans="1:8" s="2" customFormat="1">
      <c r="A17" s="1"/>
      <c r="B17" s="7"/>
      <c r="C17" s="18" t="s">
        <v>57</v>
      </c>
      <c r="D17" s="778" cm="1">
        <f t="array" ref="D17">IF(OR(D6:G8="FAIL"),0,SUM(D9:G9))</f>
        <v>0</v>
      </c>
      <c r="E17" s="799"/>
      <c r="F17" s="799"/>
      <c r="G17" s="779"/>
      <c r="H17" s="47"/>
    </row>
    <row r="18" spans="1:8" ht="13.5" thickBot="1">
      <c r="B18" s="13"/>
      <c r="C18" s="14" t="s">
        <v>174</v>
      </c>
      <c r="D18" s="781">
        <f>D14</f>
        <v>0</v>
      </c>
      <c r="E18" s="797"/>
      <c r="F18" s="797"/>
      <c r="G18" s="782"/>
      <c r="H18" s="45"/>
    </row>
    <row r="19" spans="1:8" ht="13.5" thickBot="1">
      <c r="F19" s="45"/>
      <c r="G19" s="45"/>
      <c r="H19" s="45"/>
    </row>
    <row r="20" spans="1:8" ht="21.75" thickBot="1">
      <c r="B20" s="774" t="s">
        <v>171</v>
      </c>
      <c r="C20" s="775"/>
      <c r="D20" s="776">
        <f>D17+D18</f>
        <v>0</v>
      </c>
      <c r="E20" s="798"/>
      <c r="F20" s="798"/>
      <c r="G20" s="777"/>
    </row>
    <row r="21" spans="1:8">
      <c r="D21" s="57" t="e">
        <f>IF(AND(D9=2,#REF!&gt;0),"All seats",IF(D9=2,"Front seats","Not available"))</f>
        <v>#REF!</v>
      </c>
    </row>
  </sheetData>
  <mergeCells count="29">
    <mergeCell ref="D7:E7"/>
    <mergeCell ref="F6:G6"/>
    <mergeCell ref="D6:E6"/>
    <mergeCell ref="D2:E3"/>
    <mergeCell ref="D5:E5"/>
    <mergeCell ref="F2:G3"/>
    <mergeCell ref="F5:G5"/>
    <mergeCell ref="D18:G18"/>
    <mergeCell ref="B20:C20"/>
    <mergeCell ref="D20:G20"/>
    <mergeCell ref="D17:G17"/>
    <mergeCell ref="D8:E8"/>
    <mergeCell ref="F8:G8"/>
    <mergeCell ref="B2:C4"/>
    <mergeCell ref="B14:C14"/>
    <mergeCell ref="D14:G14"/>
    <mergeCell ref="B16:C16"/>
    <mergeCell ref="D16:G16"/>
    <mergeCell ref="D11:E11"/>
    <mergeCell ref="F11:G11"/>
    <mergeCell ref="D12:E12"/>
    <mergeCell ref="F12:G13"/>
    <mergeCell ref="D13:E13"/>
    <mergeCell ref="B9:C9"/>
    <mergeCell ref="F4:G4"/>
    <mergeCell ref="D9:E9"/>
    <mergeCell ref="F9:G9"/>
    <mergeCell ref="D4:E4"/>
    <mergeCell ref="F7:G7"/>
  </mergeCells>
  <phoneticPr fontId="0" type="noConversion"/>
  <pageMargins left="0.8" right="0.44" top="0.53" bottom="1" header="0.5" footer="0.5"/>
  <pageSetup paperSize="9" scale="70" orientation="portrait" r:id="rId1"/>
  <headerFooter alignWithMargins="0"/>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D605C7-464C-42A6-BC39-378389D518BF}">
  <sheetPr codeName="Sheet1"/>
  <dimension ref="A1:X409"/>
  <sheetViews>
    <sheetView workbookViewId="0">
      <selection activeCell="E17" sqref="E17"/>
    </sheetView>
  </sheetViews>
  <sheetFormatPr defaultColWidth="8.85546875" defaultRowHeight="14.25"/>
  <cols>
    <col min="1" max="1" width="48" style="157" bestFit="1" customWidth="1"/>
    <col min="2" max="2" width="19.85546875" style="158" bestFit="1" customWidth="1"/>
    <col min="3" max="3" width="21.7109375" style="157" customWidth="1"/>
    <col min="4" max="14" width="8.85546875" style="157"/>
    <col min="15" max="15" width="11.140625" style="157" bestFit="1" customWidth="1"/>
    <col min="16" max="21" width="8.85546875" style="157"/>
    <col min="22" max="22" width="11.140625" style="157" bestFit="1" customWidth="1"/>
    <col min="23" max="16384" width="8.85546875" style="157"/>
  </cols>
  <sheetData>
    <row r="1" spans="1:7">
      <c r="A1" s="157" t="s">
        <v>19</v>
      </c>
      <c r="B1" s="164" t="str">
        <f>'General Overview'!C3</f>
        <v>Toyota</v>
      </c>
      <c r="C1" s="157" t="s">
        <v>222</v>
      </c>
      <c r="D1" s="157" t="str">
        <f>IF(COUNT(G:G)&gt;0,"Check!!","")</f>
        <v/>
      </c>
      <c r="E1" s="387"/>
      <c r="G1" s="157" t="str">
        <f>IF(OR(B1=0,B1=" ",B1=""),0,"")</f>
        <v/>
      </c>
    </row>
    <row r="2" spans="1:7">
      <c r="A2" s="157" t="s">
        <v>49</v>
      </c>
      <c r="B2" s="164" t="str">
        <f>'General Overview'!C4</f>
        <v>PROACE</v>
      </c>
      <c r="C2" s="157" t="s">
        <v>222</v>
      </c>
      <c r="G2" s="157" t="str">
        <f t="shared" ref="G2:G27" si="0">IF(OR(B2=0,B2=" ",B2=""),0,"")</f>
        <v/>
      </c>
    </row>
    <row r="3" spans="1:7">
      <c r="A3" s="157" t="s">
        <v>223</v>
      </c>
      <c r="B3" s="160" t="str">
        <f>'General Overview'!C5</f>
        <v>2.0D 90kW Medium Comfort</v>
      </c>
      <c r="C3" s="157" t="s">
        <v>222</v>
      </c>
      <c r="G3" s="157" t="str">
        <f t="shared" si="0"/>
        <v/>
      </c>
    </row>
    <row r="4" spans="1:7">
      <c r="A4" s="157" t="s">
        <v>224</v>
      </c>
      <c r="B4" s="158" t="str">
        <f>'OVERALL RATING'!F2</f>
        <v>BRONZE</v>
      </c>
      <c r="C4" s="157" t="s">
        <v>225</v>
      </c>
      <c r="G4" s="157" t="str">
        <f t="shared" si="0"/>
        <v/>
      </c>
    </row>
    <row r="5" spans="1:7">
      <c r="A5" s="157" t="s">
        <v>226</v>
      </c>
      <c r="B5" s="162">
        <f>'OVERALL RATING'!F14</f>
        <v>23</v>
      </c>
      <c r="C5" s="157" t="s">
        <v>227</v>
      </c>
      <c r="G5" s="157" t="str">
        <f t="shared" si="0"/>
        <v/>
      </c>
    </row>
    <row r="6" spans="1:7">
      <c r="A6" s="159" t="s">
        <v>228</v>
      </c>
    </row>
    <row r="7" spans="1:7">
      <c r="A7" s="157" t="s">
        <v>229</v>
      </c>
      <c r="B7" s="160" t="str">
        <f>'General Overview'!C6</f>
        <v>Monocoque</v>
      </c>
      <c r="C7" s="157" t="s">
        <v>212</v>
      </c>
      <c r="G7" s="157" t="str">
        <f t="shared" si="0"/>
        <v/>
      </c>
    </row>
    <row r="8" spans="1:7">
      <c r="A8" s="157" t="s">
        <v>230</v>
      </c>
      <c r="B8" s="160" t="str">
        <f>'General Overview'!C7</f>
        <v>N1</v>
      </c>
      <c r="C8" s="157" t="s">
        <v>222</v>
      </c>
      <c r="D8" s="157" t="s">
        <v>231</v>
      </c>
      <c r="G8" s="157" t="str">
        <f t="shared" si="0"/>
        <v/>
      </c>
    </row>
    <row r="9" spans="1:7">
      <c r="A9" s="157" t="s">
        <v>232</v>
      </c>
      <c r="B9" s="158">
        <f>'General Overview'!C9</f>
        <v>1860</v>
      </c>
      <c r="C9" s="157" t="s">
        <v>233</v>
      </c>
      <c r="G9" s="157" t="str">
        <f t="shared" si="0"/>
        <v/>
      </c>
    </row>
    <row r="10" spans="1:7">
      <c r="A10" s="157" t="s">
        <v>218</v>
      </c>
      <c r="B10" s="158">
        <f>'General Overview'!C11</f>
        <v>1240</v>
      </c>
      <c r="C10" s="157" t="s">
        <v>233</v>
      </c>
      <c r="G10" s="157" t="str">
        <f t="shared" si="0"/>
        <v/>
      </c>
    </row>
    <row r="11" spans="1:7">
      <c r="A11" s="157" t="s">
        <v>234</v>
      </c>
      <c r="B11" s="158">
        <f>'General Overview'!C12</f>
        <v>2480</v>
      </c>
      <c r="C11" s="157" t="s">
        <v>233</v>
      </c>
      <c r="G11" s="157" t="str">
        <f t="shared" si="0"/>
        <v/>
      </c>
    </row>
    <row r="12" spans="1:7">
      <c r="A12" s="157" t="s">
        <v>235</v>
      </c>
      <c r="B12" s="160" t="str">
        <f>'General Overview'!C17</f>
        <v>3rd generation 2016 to present</v>
      </c>
      <c r="C12" s="157" t="s">
        <v>236</v>
      </c>
      <c r="G12" s="157" t="str">
        <f t="shared" si="0"/>
        <v/>
      </c>
    </row>
    <row r="13" spans="1:7">
      <c r="A13" s="159" t="s">
        <v>237</v>
      </c>
    </row>
    <row r="14" spans="1:7">
      <c r="A14" s="157" t="s">
        <v>196</v>
      </c>
      <c r="B14" s="158" t="str">
        <f>'N1 Fitment'!V35</f>
        <v>Std</v>
      </c>
      <c r="C14" s="157" t="s">
        <v>238</v>
      </c>
      <c r="G14" s="157" t="str">
        <f t="shared" si="0"/>
        <v/>
      </c>
    </row>
    <row r="15" spans="1:7">
      <c r="A15" s="157" t="s">
        <v>197</v>
      </c>
      <c r="B15" s="158" t="str">
        <f>'N1 Fitment'!X35</f>
        <v>Std</v>
      </c>
      <c r="C15" s="157" t="s">
        <v>238</v>
      </c>
      <c r="G15" s="157" t="str">
        <f t="shared" si="0"/>
        <v/>
      </c>
    </row>
    <row r="16" spans="1:7">
      <c r="A16" s="157" t="s">
        <v>166</v>
      </c>
      <c r="B16" s="158" t="str">
        <f>'N1 Fitment'!N35</f>
        <v>Opt</v>
      </c>
      <c r="C16" s="157" t="s">
        <v>238</v>
      </c>
      <c r="G16" s="157" t="str">
        <f t="shared" si="0"/>
        <v/>
      </c>
    </row>
    <row r="17" spans="1:24">
      <c r="A17" s="157" t="s">
        <v>69</v>
      </c>
      <c r="B17" s="158" t="str">
        <f>'N1 Fitment'!O35</f>
        <v>Opt</v>
      </c>
      <c r="C17" s="157" t="s">
        <v>238</v>
      </c>
      <c r="G17" s="157" t="str">
        <f t="shared" si="0"/>
        <v/>
      </c>
    </row>
    <row r="18" spans="1:24">
      <c r="A18" s="157" t="s">
        <v>128</v>
      </c>
      <c r="B18" s="158" t="str">
        <f>'N1 Fitment'!P35</f>
        <v>N/A</v>
      </c>
      <c r="C18" s="157" t="s">
        <v>238</v>
      </c>
      <c r="G18" s="157" t="str">
        <f t="shared" si="0"/>
        <v/>
      </c>
    </row>
    <row r="19" spans="1:24">
      <c r="A19" s="157" t="s">
        <v>175</v>
      </c>
      <c r="B19" s="158" t="str">
        <f>'N1 Fitment'!T35</f>
        <v>Opt</v>
      </c>
      <c r="C19" s="157" t="s">
        <v>238</v>
      </c>
      <c r="G19" s="157" t="str">
        <f t="shared" si="0"/>
        <v/>
      </c>
    </row>
    <row r="20" spans="1:24">
      <c r="A20" s="157" t="s">
        <v>82</v>
      </c>
      <c r="B20" s="158" t="str">
        <f>'N1 Fitment'!AD35</f>
        <v>Opt</v>
      </c>
      <c r="C20" s="157" t="s">
        <v>238</v>
      </c>
      <c r="G20" s="157" t="str">
        <f t="shared" si="0"/>
        <v/>
      </c>
    </row>
    <row r="21" spans="1:24">
      <c r="A21" s="157" t="s">
        <v>1</v>
      </c>
      <c r="B21" s="158" t="str">
        <f>'N1 Fitment'!AF35</f>
        <v>Std</v>
      </c>
      <c r="C21" s="157" t="s">
        <v>238</v>
      </c>
      <c r="G21" s="157" t="str">
        <f t="shared" si="0"/>
        <v/>
      </c>
    </row>
    <row r="22" spans="1:24">
      <c r="A22" s="157" t="s">
        <v>220</v>
      </c>
      <c r="B22" s="160" t="str">
        <f>'OVERALL RATING'!B18</f>
        <v>Last year, the Citroën Jumpy/Peugeot Expert/Opel Vivaro/Toyota PROACE lay close to the silver/bronze threshold, and the latter was one which did not make it to the Silver medal positions.  This year, against Euro NCAP's tougher protocols, all of this family of vehicles lie firmly in the Bronze rankings, some vans performing more poorly but several others offering better safety.</v>
      </c>
      <c r="C22" s="157" t="s">
        <v>222</v>
      </c>
      <c r="G22" s="157" t="str">
        <f t="shared" si="0"/>
        <v/>
      </c>
    </row>
    <row r="23" spans="1:24">
      <c r="A23" s="157" t="s">
        <v>221</v>
      </c>
      <c r="B23" s="160" t="str">
        <f>'OVERALL RATING'!B19</f>
        <v>The PROACE is offered with autonomous emergency braking (AEB), incorporating forward collision warning (FCW) as an option.  In tests, the system performed very similarly to the Jumpy/Expert. Up to a certain speed, the system performed well in tests where the Jumpy was approaching the rear of a stationary car, with collisions avoided or mitigated in most cases.  However, at the higher tests speeds the FCW did not react.  When approaching a slower-moving car, performance was better, and was considered adequate even at the higher test speeds.  However, it was noticeable that the AEB/FCW performance was very asymmetric.  If the target car was offset significantly to the right/left, good performance was maintained.  However, if the target was offset significantly to the right/left, there was no reaction from the system and no degree of collision mitigation.  The system showed weak performance in its response to pedestrians.  In the case of a child running from behind parked cars on the nearside, performance was poor.  The system does not react to cyclists.
Lane departure warning is the only lane assistance system on offer.  The system met Euro NCAP’s requirements when tested but was not rewarded as it is operational only at speeds above 80 km/h.  A blind-spot information system is available as an option.
A speed-limit information system utilises a camera and digital mapping to inform the driver of the local speed limit.  This system performed well but the driver-set limiter was unable to maintain the set speed with sufficient accuracy to meet Euro NCAP’s requirements and was not rewarded.
A seatbelt reminder is standard for the driver’s seat and the passenger seat.  However, the system failed Euro NCAP’s requirements on the passenger side and was not rewarded.  A driver-state monitoring system warns the driver if steering inputs characteristic of fatigued or impaired driving is detected.  However, this system does not switch on by default at the beginning of each journey so no points were scored.</v>
      </c>
      <c r="C23" s="157" t="s">
        <v>222</v>
      </c>
      <c r="G23" s="157" t="str">
        <f t="shared" si="0"/>
        <v/>
      </c>
    </row>
    <row r="24" spans="1:24">
      <c r="A24" s="159" t="s">
        <v>239</v>
      </c>
    </row>
    <row r="25" spans="1:24">
      <c r="A25" s="157" t="s">
        <v>240</v>
      </c>
      <c r="B25" s="158">
        <f>IF(B16="n/a","N/A$",'OVERALL RATING'!G6)</f>
        <v>13.715000000000002</v>
      </c>
      <c r="C25" s="157" t="s">
        <v>241</v>
      </c>
      <c r="G25" s="157" t="str">
        <f t="shared" si="0"/>
        <v/>
      </c>
    </row>
    <row r="26" spans="1:24">
      <c r="A26" s="157" t="s">
        <v>242</v>
      </c>
      <c r="B26" s="158" t="str" cm="1">
        <f t="array" ref="B26">IF(B16="N/A","Grey",Colour_ADAS('OVERALL RATING'!G6/'OVERALL RATING'!B6))</f>
        <v>Orange</v>
      </c>
      <c r="C26" s="157" t="s">
        <v>243</v>
      </c>
      <c r="G26" s="157" t="str">
        <f t="shared" si="0"/>
        <v/>
      </c>
    </row>
    <row r="27" spans="1:24">
      <c r="A27" s="157" t="s">
        <v>244</v>
      </c>
      <c r="B27" s="158" t="str">
        <f>IF(B25="N/A$","N/A",CONCATENATE(IF('AEB Car-to-Car'!D7="YES","AEB",""),IF(AND('AEB Car-to-Car'!D7="YES",'AEB Car-to-Car'!I7="YES")," &amp; ",""),IF('AEB Car-to-Car'!I7="YES","FCW","")))</f>
        <v>AEB &amp; FCW</v>
      </c>
      <c r="C27" s="157" t="s">
        <v>222</v>
      </c>
      <c r="G27" s="157" t="str">
        <f t="shared" si="0"/>
        <v/>
      </c>
    </row>
    <row r="28" spans="1:24">
      <c r="A28" s="157" t="s">
        <v>245</v>
      </c>
      <c r="B28" s="158">
        <f>IF(B25="N/A$","N/A",MIN('AEB Car-to-Car'!D8,'AEB Car-to-Car'!I8))</f>
        <v>5</v>
      </c>
      <c r="C28" s="157" t="s">
        <v>222</v>
      </c>
      <c r="G28" s="157" t="str">
        <f>IF(OR(B28=" ",B28=""),0,"")</f>
        <v/>
      </c>
    </row>
    <row r="29" spans="1:24">
      <c r="A29" s="161" t="s">
        <v>246</v>
      </c>
      <c r="H29" s="391" t="s">
        <v>826</v>
      </c>
      <c r="M29" s="163"/>
      <c r="N29" s="163"/>
      <c r="O29" s="163"/>
      <c r="P29" s="163"/>
      <c r="Q29" s="163"/>
      <c r="T29" s="163"/>
      <c r="U29" s="163"/>
      <c r="V29" s="163"/>
      <c r="W29" s="163"/>
      <c r="X29" s="163"/>
    </row>
    <row r="30" spans="1:24">
      <c r="A30" s="157" t="s">
        <v>247</v>
      </c>
      <c r="C30" s="157" t="s">
        <v>243</v>
      </c>
      <c r="H30" s="391" t="s">
        <v>826</v>
      </c>
      <c r="M30" s="163"/>
      <c r="N30" s="163"/>
      <c r="O30" s="163"/>
      <c r="P30" s="163"/>
      <c r="Q30" s="163"/>
      <c r="T30" s="163"/>
      <c r="U30" s="163"/>
      <c r="V30" s="163"/>
      <c r="W30" s="163"/>
      <c r="X30" s="163"/>
    </row>
    <row r="31" spans="1:24">
      <c r="A31" s="157" t="s">
        <v>248</v>
      </c>
      <c r="C31" s="157" t="s">
        <v>243</v>
      </c>
      <c r="H31" s="391" t="s">
        <v>826</v>
      </c>
      <c r="M31" s="163"/>
      <c r="N31" s="163"/>
      <c r="O31" s="163"/>
      <c r="P31" s="163"/>
      <c r="Q31" s="163"/>
      <c r="T31" s="163"/>
      <c r="U31" s="163"/>
      <c r="V31" s="163"/>
      <c r="W31" s="163"/>
      <c r="X31" s="163"/>
    </row>
    <row r="32" spans="1:24">
      <c r="A32" s="157" t="s">
        <v>249</v>
      </c>
      <c r="C32" s="157" t="s">
        <v>243</v>
      </c>
      <c r="H32" s="391" t="s">
        <v>826</v>
      </c>
      <c r="M32" s="163"/>
      <c r="N32" s="163"/>
      <c r="O32" s="163"/>
      <c r="P32" s="163"/>
      <c r="Q32" s="163"/>
      <c r="T32" s="163"/>
      <c r="U32" s="163"/>
      <c r="V32" s="163"/>
      <c r="W32" s="163"/>
      <c r="X32" s="163"/>
    </row>
    <row r="33" spans="1:24">
      <c r="A33" s="157" t="s">
        <v>250</v>
      </c>
      <c r="C33" s="157" t="s">
        <v>243</v>
      </c>
      <c r="H33" s="391" t="s">
        <v>826</v>
      </c>
      <c r="M33" s="163"/>
      <c r="N33" s="163"/>
      <c r="O33" s="163"/>
      <c r="P33" s="163"/>
      <c r="Q33" s="163"/>
      <c r="T33" s="163"/>
      <c r="U33" s="163"/>
      <c r="V33" s="163"/>
      <c r="W33" s="163"/>
      <c r="X33" s="163"/>
    </row>
    <row r="34" spans="1:24">
      <c r="A34" s="157" t="s">
        <v>251</v>
      </c>
      <c r="C34" s="157" t="s">
        <v>243</v>
      </c>
      <c r="H34" s="391" t="s">
        <v>826</v>
      </c>
      <c r="M34" s="163"/>
      <c r="N34" s="163"/>
      <c r="O34" s="163"/>
      <c r="P34" s="163"/>
      <c r="Q34" s="163"/>
      <c r="T34" s="163"/>
      <c r="U34" s="163"/>
      <c r="V34" s="163"/>
      <c r="W34" s="163"/>
      <c r="X34" s="163"/>
    </row>
    <row r="35" spans="1:24">
      <c r="A35" s="157" t="s">
        <v>252</v>
      </c>
      <c r="C35" s="157" t="s">
        <v>243</v>
      </c>
      <c r="H35" s="391" t="s">
        <v>826</v>
      </c>
      <c r="M35" s="163"/>
      <c r="N35" s="163"/>
      <c r="O35" s="163"/>
      <c r="P35" s="163"/>
      <c r="Q35" s="163"/>
      <c r="T35" s="163"/>
      <c r="U35" s="163"/>
      <c r="V35" s="163"/>
      <c r="W35" s="163"/>
      <c r="X35" s="163"/>
    </row>
    <row r="36" spans="1:24">
      <c r="A36" s="157" t="s">
        <v>253</v>
      </c>
      <c r="C36" s="157" t="s">
        <v>243</v>
      </c>
      <c r="H36" s="391" t="s">
        <v>826</v>
      </c>
      <c r="M36" s="163"/>
      <c r="N36" s="163"/>
      <c r="O36" s="163"/>
      <c r="P36" s="163"/>
      <c r="Q36" s="163"/>
      <c r="T36" s="163"/>
      <c r="U36" s="163"/>
      <c r="V36" s="163"/>
      <c r="W36" s="163"/>
      <c r="X36" s="163"/>
    </row>
    <row r="37" spans="1:24">
      <c r="A37" s="161" t="s">
        <v>254</v>
      </c>
      <c r="H37" s="391" t="s">
        <v>826</v>
      </c>
      <c r="M37" s="163"/>
      <c r="N37" s="163"/>
      <c r="O37" s="163"/>
      <c r="P37" s="163"/>
      <c r="Q37" s="163"/>
      <c r="T37" s="163"/>
      <c r="U37" s="163"/>
      <c r="V37" s="163"/>
      <c r="W37" s="163"/>
      <c r="X37" s="163"/>
    </row>
    <row r="38" spans="1:24">
      <c r="A38" s="157" t="s">
        <v>255</v>
      </c>
      <c r="C38" s="157" t="s">
        <v>243</v>
      </c>
      <c r="H38" s="391" t="s">
        <v>826</v>
      </c>
      <c r="M38" s="805"/>
      <c r="N38" s="805"/>
      <c r="O38" s="385"/>
      <c r="P38" s="805"/>
      <c r="Q38" s="805"/>
      <c r="T38" s="163"/>
      <c r="U38" s="163"/>
      <c r="V38" s="163"/>
      <c r="W38" s="163"/>
      <c r="X38" s="163"/>
    </row>
    <row r="39" spans="1:24">
      <c r="A39" s="157" t="s">
        <v>256</v>
      </c>
      <c r="C39" s="157" t="s">
        <v>243</v>
      </c>
      <c r="H39" s="391" t="s">
        <v>826</v>
      </c>
      <c r="M39" s="806"/>
      <c r="N39" s="806"/>
      <c r="O39" s="386"/>
      <c r="P39" s="806"/>
      <c r="Q39" s="806"/>
      <c r="T39" s="163"/>
      <c r="U39" s="163"/>
      <c r="V39" s="163"/>
      <c r="W39" s="163"/>
      <c r="X39" s="163"/>
    </row>
    <row r="40" spans="1:24">
      <c r="A40" s="157" t="s">
        <v>257</v>
      </c>
      <c r="C40" s="157" t="s">
        <v>243</v>
      </c>
      <c r="H40" s="391" t="s">
        <v>826</v>
      </c>
      <c r="T40" s="805"/>
      <c r="U40" s="805"/>
      <c r="V40" s="385"/>
      <c r="W40" s="805"/>
      <c r="X40" s="805"/>
    </row>
    <row r="41" spans="1:24">
      <c r="A41" s="157" t="s">
        <v>258</v>
      </c>
      <c r="C41" s="157" t="s">
        <v>243</v>
      </c>
      <c r="H41" s="391" t="s">
        <v>826</v>
      </c>
      <c r="T41" s="806"/>
      <c r="U41" s="806"/>
      <c r="V41" s="386"/>
      <c r="W41" s="806"/>
      <c r="X41" s="806"/>
    </row>
    <row r="42" spans="1:24">
      <c r="A42" s="157" t="s">
        <v>259</v>
      </c>
      <c r="C42" s="157" t="s">
        <v>243</v>
      </c>
      <c r="H42" s="391" t="s">
        <v>826</v>
      </c>
    </row>
    <row r="43" spans="1:24">
      <c r="A43" s="157" t="s">
        <v>260</v>
      </c>
      <c r="C43" s="157" t="s">
        <v>243</v>
      </c>
      <c r="H43" s="391" t="s">
        <v>826</v>
      </c>
      <c r="M43" s="163"/>
      <c r="N43" s="163"/>
      <c r="O43" s="163"/>
      <c r="P43" s="163"/>
      <c r="Q43" s="163"/>
    </row>
    <row r="44" spans="1:24">
      <c r="A44" s="157" t="s">
        <v>261</v>
      </c>
      <c r="C44" s="157" t="s">
        <v>243</v>
      </c>
      <c r="H44" s="391" t="s">
        <v>826</v>
      </c>
      <c r="M44" s="163"/>
      <c r="N44" s="163"/>
      <c r="O44" s="163"/>
      <c r="P44" s="163"/>
      <c r="Q44" s="163"/>
    </row>
    <row r="45" spans="1:24">
      <c r="A45" s="157" t="s">
        <v>262</v>
      </c>
      <c r="B45" s="158">
        <f>IF(B17="n/a","N/A$",'OVERALL RATING'!G7)</f>
        <v>0.44444444444444448</v>
      </c>
      <c r="C45" s="157" t="s">
        <v>241</v>
      </c>
      <c r="G45" s="157" t="str">
        <f t="shared" ref="G45:G46" si="1">IF(OR(B45=0,B45=" ",B45=""),0,"")</f>
        <v/>
      </c>
      <c r="M45" s="163"/>
      <c r="N45" s="163"/>
      <c r="O45" s="163"/>
      <c r="P45" s="163"/>
      <c r="Q45" s="163"/>
    </row>
    <row r="46" spans="1:24">
      <c r="A46" s="157" t="s">
        <v>263</v>
      </c>
      <c r="B46" s="158" t="str" cm="1">
        <f t="array" ref="B46">IF(B17="N/A","Grey",Colour_ADAS('OVERALL RATING'!G7/'OVERALL RATING'!B7))</f>
        <v>Brown</v>
      </c>
      <c r="C46" s="157" t="s">
        <v>243</v>
      </c>
      <c r="G46" s="157" t="str">
        <f t="shared" si="1"/>
        <v/>
      </c>
      <c r="M46" s="163"/>
      <c r="N46" s="163"/>
      <c r="O46" s="163"/>
      <c r="P46" s="163"/>
      <c r="Q46" s="163"/>
    </row>
    <row r="47" spans="1:24">
      <c r="A47" s="157" t="s">
        <v>264</v>
      </c>
      <c r="C47" s="157" t="s">
        <v>243</v>
      </c>
      <c r="H47" s="391" t="s">
        <v>826</v>
      </c>
      <c r="M47" s="163"/>
      <c r="N47" s="163"/>
      <c r="O47" s="163"/>
      <c r="P47" s="163"/>
      <c r="Q47" s="163"/>
      <c r="T47" s="163"/>
      <c r="U47" s="165"/>
      <c r="V47" s="163"/>
      <c r="W47" s="163"/>
      <c r="X47" s="163"/>
    </row>
    <row r="48" spans="1:24">
      <c r="A48" s="157" t="s">
        <v>265</v>
      </c>
      <c r="C48" s="157" t="s">
        <v>243</v>
      </c>
      <c r="H48" s="391" t="s">
        <v>826</v>
      </c>
      <c r="M48" s="163"/>
      <c r="N48" s="163"/>
      <c r="O48" s="163"/>
      <c r="P48" s="163"/>
      <c r="Q48" s="163"/>
      <c r="T48" s="163"/>
      <c r="U48" s="163"/>
      <c r="V48" s="163"/>
      <c r="W48" s="163"/>
      <c r="X48" s="163"/>
    </row>
    <row r="49" spans="1:24">
      <c r="A49" s="157" t="s">
        <v>266</v>
      </c>
      <c r="C49" s="157" t="s">
        <v>243</v>
      </c>
      <c r="H49" s="391" t="s">
        <v>826</v>
      </c>
      <c r="M49" s="163"/>
      <c r="N49" s="163"/>
      <c r="O49" s="163"/>
      <c r="P49" s="163"/>
      <c r="Q49" s="163"/>
      <c r="T49" s="163"/>
      <c r="U49" s="163"/>
      <c r="V49" s="163"/>
      <c r="W49" s="163"/>
      <c r="X49" s="163"/>
    </row>
    <row r="50" spans="1:24">
      <c r="A50" s="157" t="s">
        <v>267</v>
      </c>
      <c r="B50" s="158" t="str">
        <f>IF(B18="n/a","N/A$",'OVERALL RATING'!G8)</f>
        <v>N/A$</v>
      </c>
      <c r="C50" s="157" t="s">
        <v>241</v>
      </c>
      <c r="G50" s="157" t="str">
        <f t="shared" ref="G50:G51" si="2">IF(OR(B50=0,B50=" ",B50=""),0,"")</f>
        <v/>
      </c>
      <c r="M50" s="163"/>
      <c r="N50" s="163"/>
      <c r="O50" s="163"/>
      <c r="P50" s="163"/>
      <c r="Q50" s="163"/>
      <c r="T50" s="163"/>
      <c r="U50" s="163"/>
      <c r="V50" s="163"/>
      <c r="W50" s="163"/>
      <c r="X50" s="163"/>
    </row>
    <row r="51" spans="1:24">
      <c r="A51" s="157" t="s">
        <v>268</v>
      </c>
      <c r="B51" s="158" t="str" cm="1">
        <f t="array" ref="B51">IF(B18="N/A","Grey",Colour_ADAS('OVERALL RATING'!G8/'OVERALL RATING'!B8))</f>
        <v>Grey</v>
      </c>
      <c r="C51" s="157" t="s">
        <v>243</v>
      </c>
      <c r="G51" s="157" t="str">
        <f t="shared" si="2"/>
        <v/>
      </c>
      <c r="M51" s="163"/>
      <c r="N51" s="163"/>
      <c r="O51" s="163"/>
      <c r="P51" s="163"/>
      <c r="Q51" s="163"/>
      <c r="T51" s="163"/>
      <c r="U51" s="163"/>
      <c r="V51" s="163"/>
      <c r="W51" s="163"/>
      <c r="X51" s="163"/>
    </row>
    <row r="52" spans="1:24">
      <c r="A52" s="157" t="s">
        <v>269</v>
      </c>
      <c r="C52" s="157" t="s">
        <v>243</v>
      </c>
      <c r="H52" s="391" t="s">
        <v>826</v>
      </c>
      <c r="M52" s="163"/>
      <c r="N52" s="163"/>
      <c r="O52" s="163"/>
      <c r="P52" s="163"/>
      <c r="Q52" s="163"/>
      <c r="T52" s="163"/>
      <c r="U52" s="163"/>
      <c r="V52" s="163"/>
      <c r="W52" s="163"/>
      <c r="X52" s="163"/>
    </row>
    <row r="53" spans="1:24">
      <c r="A53" s="157" t="s">
        <v>270</v>
      </c>
      <c r="C53" s="157" t="s">
        <v>243</v>
      </c>
      <c r="H53" s="391" t="s">
        <v>826</v>
      </c>
      <c r="M53" s="163"/>
      <c r="N53" s="163"/>
      <c r="O53" s="163"/>
      <c r="P53" s="163"/>
      <c r="Q53" s="163"/>
      <c r="T53" s="163"/>
      <c r="U53" s="163"/>
      <c r="V53" s="163"/>
      <c r="W53" s="163"/>
      <c r="X53" s="163"/>
    </row>
    <row r="54" spans="1:24">
      <c r="A54" s="157" t="s">
        <v>271</v>
      </c>
      <c r="B54" s="158">
        <f>IF(B21="N/A","N/A$",'OVERALL RATING'!G10)</f>
        <v>6.625</v>
      </c>
      <c r="C54" s="157" t="s">
        <v>241</v>
      </c>
      <c r="G54" s="157" t="str">
        <f t="shared" ref="G54:G57" si="3">IF(OR(B54=0,B54=" ",B54=""),0,"")</f>
        <v/>
      </c>
      <c r="M54" s="805"/>
      <c r="N54" s="805"/>
      <c r="O54" s="385"/>
      <c r="P54" s="805"/>
      <c r="Q54" s="805"/>
      <c r="T54" s="805"/>
      <c r="U54" s="805"/>
      <c r="V54" s="385"/>
      <c r="W54" s="805"/>
      <c r="X54" s="805"/>
    </row>
    <row r="55" spans="1:24">
      <c r="A55" s="157" t="s">
        <v>272</v>
      </c>
      <c r="B55" s="158" t="str" cm="1">
        <f t="array" ref="B55">IF(B54="N/A$","Grey",Colour_ADAS('OVERALL RATING'!G10/'OVERALL RATING'!B10))</f>
        <v>Orange</v>
      </c>
      <c r="C55" s="157" t="s">
        <v>243</v>
      </c>
      <c r="G55" s="157" t="str">
        <f t="shared" si="3"/>
        <v/>
      </c>
      <c r="M55" s="806"/>
      <c r="N55" s="806"/>
      <c r="O55" s="386"/>
      <c r="P55" s="806"/>
      <c r="Q55" s="806"/>
      <c r="T55" s="806"/>
      <c r="U55" s="806"/>
      <c r="V55" s="386"/>
      <c r="W55" s="806"/>
      <c r="X55" s="806"/>
    </row>
    <row r="56" spans="1:24">
      <c r="A56" s="157" t="s">
        <v>273</v>
      </c>
      <c r="B56" s="158" t="str">
        <f>IF('SAS 2020'!D10=0,"N/A",'SAS 2020'!D10)</f>
        <v>Camera &amp; Map</v>
      </c>
      <c r="C56" s="157" t="s">
        <v>222</v>
      </c>
      <c r="G56" s="157" t="str">
        <f t="shared" si="3"/>
        <v/>
      </c>
    </row>
    <row r="57" spans="1:24">
      <c r="A57" s="157" t="s">
        <v>274</v>
      </c>
      <c r="B57" s="158" t="str">
        <f>IF('SAS 2020'!D32=0,"N/A",'SAS 2020'!D32)</f>
        <v>Manually set</v>
      </c>
      <c r="C57" s="157" t="s">
        <v>222</v>
      </c>
      <c r="G57" s="157" t="str">
        <f t="shared" si="3"/>
        <v/>
      </c>
    </row>
    <row r="58" spans="1:24">
      <c r="A58" s="157" t="s">
        <v>275</v>
      </c>
      <c r="B58" s="158">
        <f>IF('N1 Fitment'!AE35="N/A","N/A$",'OVERALL RATING'!G11)</f>
        <v>0</v>
      </c>
      <c r="C58" s="157" t="s">
        <v>241</v>
      </c>
      <c r="G58" s="157" t="str">
        <f>IF(OR(B58=" ",B58=""),0,"")</f>
        <v/>
      </c>
    </row>
    <row r="59" spans="1:24">
      <c r="A59" s="157" t="s">
        <v>276</v>
      </c>
      <c r="B59" s="158" t="str" cm="1">
        <f t="array" ref="B59">IF(B58="N/A$","Grey",Colour_ADAS('OVERALL RATING'!G11/'OVERALL RATING'!B11))</f>
        <v>Red</v>
      </c>
      <c r="C59" s="157" t="s">
        <v>243</v>
      </c>
      <c r="G59" s="157" t="str">
        <f t="shared" ref="G59:G68" si="4">IF(OR(B59=0,B59=" ",B59=""),0,"")</f>
        <v/>
      </c>
    </row>
    <row r="60" spans="1:24">
      <c r="A60" s="157" t="s">
        <v>277</v>
      </c>
      <c r="B60" s="158" t="str">
        <f>IF('N1 Fitment'!T35="N/A","N/A",IF(OSM!D14&gt;0,"Pass","Fail"))</f>
        <v>Fail</v>
      </c>
      <c r="C60" s="387" t="s">
        <v>357</v>
      </c>
      <c r="G60" s="157" t="str">
        <f t="shared" si="4"/>
        <v/>
      </c>
    </row>
    <row r="61" spans="1:24">
      <c r="A61" s="157" t="s">
        <v>278</v>
      </c>
      <c r="B61" s="160" t="str">
        <f>OSM!D7</f>
        <v>PASS</v>
      </c>
      <c r="C61" s="387" t="s">
        <v>357</v>
      </c>
      <c r="G61" s="157" t="str">
        <f t="shared" si="4"/>
        <v/>
      </c>
    </row>
    <row r="62" spans="1:24">
      <c r="A62" s="157" t="s">
        <v>279</v>
      </c>
      <c r="B62" s="160" t="str">
        <f>OSM!D8</f>
        <v>PASS</v>
      </c>
      <c r="C62" s="387" t="s">
        <v>357</v>
      </c>
      <c r="G62" s="157" t="str">
        <f t="shared" si="4"/>
        <v/>
      </c>
    </row>
    <row r="63" spans="1:24">
      <c r="A63" s="157" t="s">
        <v>280</v>
      </c>
      <c r="B63" s="160" t="str">
        <f>OSM!F7</f>
        <v>PASS</v>
      </c>
      <c r="C63" s="387" t="s">
        <v>357</v>
      </c>
      <c r="G63" s="157" t="str">
        <f t="shared" si="4"/>
        <v/>
      </c>
    </row>
    <row r="64" spans="1:24">
      <c r="A64" s="157" t="s">
        <v>281</v>
      </c>
      <c r="B64" s="160" t="str">
        <f>OSM!F8</f>
        <v>PASS</v>
      </c>
      <c r="C64" s="387" t="s">
        <v>357</v>
      </c>
      <c r="G64" s="157" t="str">
        <f t="shared" si="4"/>
        <v/>
      </c>
    </row>
    <row r="65" spans="1:7">
      <c r="A65" s="157" t="s">
        <v>282</v>
      </c>
      <c r="B65" s="160" t="str">
        <f>OSM!F6</f>
        <v>FAIL</v>
      </c>
      <c r="C65" s="387" t="s">
        <v>357</v>
      </c>
      <c r="G65" s="157" t="str">
        <f t="shared" si="4"/>
        <v/>
      </c>
    </row>
    <row r="66" spans="1:7">
      <c r="A66" s="157" t="s">
        <v>283</v>
      </c>
      <c r="B66" s="158">
        <f>IF(B20="N/A","N/A$",'OVERALL RATING'!G9)</f>
        <v>2.5</v>
      </c>
      <c r="C66" s="157" t="s">
        <v>241</v>
      </c>
      <c r="G66" s="157" t="str">
        <f t="shared" si="4"/>
        <v/>
      </c>
    </row>
    <row r="67" spans="1:7">
      <c r="A67" s="157" t="s">
        <v>284</v>
      </c>
      <c r="B67" s="158" t="str" cm="1">
        <f t="array" ref="B67">IF(B66="N/A$","Grey",Colour_ADAS('OVERALL RATING'!G9/'OVERALL RATING'!B9))</f>
        <v>Brown</v>
      </c>
      <c r="C67" s="157" t="s">
        <v>243</v>
      </c>
      <c r="G67" s="157" t="str">
        <f t="shared" si="4"/>
        <v/>
      </c>
    </row>
    <row r="68" spans="1:7">
      <c r="A68" s="157" t="s">
        <v>285</v>
      </c>
      <c r="B68" s="158" t="str">
        <f>IF(B20="N/A","N/A",CONCATENATE(IF('N1 Fitment'!Q35&lt;&gt;"N/A","ELK/LKA",""),IF(AND('N1 Fitment'!Q35&lt;&gt;"N/A",'N1 Fitment'!R35&lt;&gt;"N/A",'N1 Fitment'!S35="N/A")," &amp; ",""),IF(AND('N1 Fitment'!Q35&lt;&gt;"N/A",'N1 Fitment'!R35&lt;&gt;"N/A",'N1 Fitment'!S35&lt;&gt;"N/A"),", ",""),IF('N1 Fitment'!R35&lt;&gt;"N/A","LDW",""),IF(AND('N1 Fitment'!S35&lt;&gt;"N/A",'N1 Fitment'!S35&lt;&gt;"N/A")," &amp; ",""),IF('N1 Fitment'!S35&lt;&gt;"N/A","BLIS","")))</f>
        <v>LDW &amp; BLIS</v>
      </c>
      <c r="C68" s="157" t="s">
        <v>222</v>
      </c>
      <c r="G68" s="157" t="str">
        <f t="shared" si="4"/>
        <v/>
      </c>
    </row>
    <row r="69" spans="1:7">
      <c r="A69" s="157" t="s">
        <v>286</v>
      </c>
      <c r="B69" s="388">
        <f>IF(B20="N/A","N/A",LSS!D9)</f>
        <v>0</v>
      </c>
      <c r="C69" s="157" t="s">
        <v>222</v>
      </c>
      <c r="G69" s="157" t="str">
        <f>IF(OR(B69=" ",B69=""),0,"")</f>
        <v/>
      </c>
    </row>
    <row r="70" spans="1:7">
      <c r="A70" s="157" t="s">
        <v>287</v>
      </c>
      <c r="B70" s="158" t="str" cm="1">
        <f t="array" ref="B70">IF('N1 Fitment'!Q35="N/A","N/A",Colour_ADAS(LSS!D68/3))</f>
        <v>N/A</v>
      </c>
      <c r="C70" s="387" t="s">
        <v>243</v>
      </c>
      <c r="G70" s="157" t="str">
        <f t="shared" ref="G70:G133" si="5">IF(OR(B70=0,B70=" ",B70=""),0,"")</f>
        <v/>
      </c>
    </row>
    <row r="71" spans="1:7">
      <c r="A71" s="157" t="s">
        <v>288</v>
      </c>
      <c r="B71" s="388" t="str">
        <f>IF('N1 Fitment'!R35="N/A","N/A",LSS!D63)</f>
        <v>FAIL</v>
      </c>
      <c r="C71" s="387" t="s">
        <v>357</v>
      </c>
      <c r="G71" s="157" t="str">
        <f t="shared" si="5"/>
        <v/>
      </c>
    </row>
    <row r="72" spans="1:7">
      <c r="A72" s="157" t="s">
        <v>289</v>
      </c>
      <c r="B72" s="388" t="str">
        <f>IF('N1 Fitment'!S35="N/A","N/A",LSS!D64)</f>
        <v>PASS</v>
      </c>
      <c r="C72" s="387" t="s">
        <v>357</v>
      </c>
      <c r="G72" s="157" t="str">
        <f t="shared" si="5"/>
        <v/>
      </c>
    </row>
    <row r="73" spans="1:7">
      <c r="A73" s="159" t="s">
        <v>290</v>
      </c>
    </row>
    <row r="74" spans="1:7">
      <c r="A74" s="157" t="s">
        <v>447</v>
      </c>
      <c r="B74" s="232" t="str">
        <f>'N1 Fitment'!N6</f>
        <v>Opt2</v>
      </c>
      <c r="C74" s="157" t="s">
        <v>238</v>
      </c>
      <c r="G74" s="157" t="str">
        <f t="shared" si="5"/>
        <v/>
      </c>
    </row>
    <row r="75" spans="1:7">
      <c r="A75" s="157" t="s">
        <v>448</v>
      </c>
      <c r="B75" s="232" t="str">
        <f>'N1 Fitment'!N7</f>
        <v>N/A</v>
      </c>
      <c r="C75" s="157" t="s">
        <v>238</v>
      </c>
      <c r="G75" s="157" t="str">
        <f t="shared" si="5"/>
        <v/>
      </c>
    </row>
    <row r="76" spans="1:7">
      <c r="A76" s="157" t="s">
        <v>449</v>
      </c>
      <c r="B76" s="163" t="str">
        <f>'N1 Fitment'!N8</f>
        <v>N/A</v>
      </c>
      <c r="C76" s="157" t="s">
        <v>238</v>
      </c>
      <c r="G76" s="157" t="str">
        <f t="shared" si="5"/>
        <v/>
      </c>
    </row>
    <row r="77" spans="1:7">
      <c r="A77" s="157" t="s">
        <v>450</v>
      </c>
      <c r="B77" s="163" t="str">
        <f>'N1 Fitment'!N9</f>
        <v>N/A</v>
      </c>
      <c r="C77" s="157" t="s">
        <v>238</v>
      </c>
      <c r="G77" s="157" t="str">
        <f t="shared" si="5"/>
        <v/>
      </c>
    </row>
    <row r="78" spans="1:7">
      <c r="A78" s="157" t="s">
        <v>451</v>
      </c>
      <c r="B78" s="163" t="str">
        <f>'N1 Fitment'!N10</f>
        <v>N/A</v>
      </c>
      <c r="C78" s="157" t="s">
        <v>238</v>
      </c>
      <c r="G78" s="157" t="str">
        <f t="shared" si="5"/>
        <v/>
      </c>
    </row>
    <row r="79" spans="1:7">
      <c r="A79" s="157" t="s">
        <v>452</v>
      </c>
      <c r="B79" s="163" t="str">
        <f>'N1 Fitment'!N11</f>
        <v>Opt2</v>
      </c>
      <c r="C79" s="157" t="s">
        <v>238</v>
      </c>
      <c r="G79" s="157" t="str">
        <f t="shared" si="5"/>
        <v/>
      </c>
    </row>
    <row r="80" spans="1:7">
      <c r="A80" s="157" t="s">
        <v>453</v>
      </c>
      <c r="B80" s="163" t="str">
        <f>'N1 Fitment'!N12</f>
        <v>Opt2</v>
      </c>
      <c r="C80" s="157" t="s">
        <v>238</v>
      </c>
      <c r="G80" s="157" t="str">
        <f t="shared" si="5"/>
        <v/>
      </c>
    </row>
    <row r="81" spans="1:7">
      <c r="A81" s="157" t="s">
        <v>454</v>
      </c>
      <c r="B81" s="163" t="str">
        <f>'N1 Fitment'!N13</f>
        <v>N/A</v>
      </c>
      <c r="C81" s="157" t="s">
        <v>238</v>
      </c>
      <c r="G81" s="157" t="str">
        <f t="shared" si="5"/>
        <v/>
      </c>
    </row>
    <row r="82" spans="1:7">
      <c r="A82" s="157" t="s">
        <v>455</v>
      </c>
      <c r="B82" s="163" t="str">
        <f>'N1 Fitment'!N14</f>
        <v>Opt2</v>
      </c>
      <c r="C82" s="157" t="s">
        <v>238</v>
      </c>
      <c r="G82" s="157" t="str">
        <f t="shared" si="5"/>
        <v/>
      </c>
    </row>
    <row r="83" spans="1:7">
      <c r="A83" s="157" t="s">
        <v>291</v>
      </c>
      <c r="B83" s="163" t="str">
        <f>'N1 Fitment'!N15</f>
        <v>N/A</v>
      </c>
      <c r="C83" s="157" t="s">
        <v>238</v>
      </c>
      <c r="G83" s="157" t="str">
        <f t="shared" si="5"/>
        <v/>
      </c>
    </row>
    <row r="84" spans="1:7">
      <c r="A84" s="157" t="s">
        <v>292</v>
      </c>
      <c r="B84" s="163" t="str">
        <f>'N1 Fitment'!N16</f>
        <v>Opt2</v>
      </c>
      <c r="C84" s="157" t="s">
        <v>238</v>
      </c>
      <c r="G84" s="157" t="str">
        <f t="shared" si="5"/>
        <v/>
      </c>
    </row>
    <row r="85" spans="1:7">
      <c r="A85" s="157" t="s">
        <v>456</v>
      </c>
      <c r="B85" s="163" t="str">
        <f>'N1 Fitment'!N17</f>
        <v>N/A</v>
      </c>
      <c r="C85" s="157" t="s">
        <v>238</v>
      </c>
      <c r="G85" s="157" t="str">
        <f t="shared" si="5"/>
        <v/>
      </c>
    </row>
    <row r="86" spans="1:7">
      <c r="A86" s="157" t="s">
        <v>457</v>
      </c>
      <c r="B86" s="163" t="str">
        <f>'N1 Fitment'!N18</f>
        <v>Opt2</v>
      </c>
      <c r="C86" s="157" t="s">
        <v>238</v>
      </c>
      <c r="G86" s="157" t="str">
        <f t="shared" si="5"/>
        <v/>
      </c>
    </row>
    <row r="87" spans="1:7">
      <c r="A87" s="157" t="s">
        <v>458</v>
      </c>
      <c r="B87" s="163" t="str">
        <f>'N1 Fitment'!N19</f>
        <v>N/A</v>
      </c>
      <c r="C87" s="157" t="s">
        <v>238</v>
      </c>
      <c r="G87" s="157" t="str">
        <f t="shared" si="5"/>
        <v/>
      </c>
    </row>
    <row r="88" spans="1:7">
      <c r="A88" s="157" t="s">
        <v>293</v>
      </c>
      <c r="B88" s="163" t="str">
        <f>'N1 Fitment'!N20</f>
        <v>Opt2</v>
      </c>
      <c r="C88" s="157" t="s">
        <v>238</v>
      </c>
      <c r="G88" s="157" t="str">
        <f t="shared" si="5"/>
        <v/>
      </c>
    </row>
    <row r="89" spans="1:7">
      <c r="A89" s="157" t="s">
        <v>459</v>
      </c>
      <c r="B89" s="163" t="str">
        <f>'N1 Fitment'!N21</f>
        <v>N/A</v>
      </c>
      <c r="C89" s="157" t="s">
        <v>238</v>
      </c>
      <c r="G89" s="157" t="str">
        <f t="shared" si="5"/>
        <v/>
      </c>
    </row>
    <row r="90" spans="1:7">
      <c r="A90" s="157" t="s">
        <v>460</v>
      </c>
      <c r="B90" s="163" t="str">
        <f>'N1 Fitment'!N22</f>
        <v>Opt2</v>
      </c>
      <c r="C90" s="157" t="s">
        <v>238</v>
      </c>
      <c r="G90" s="157" t="str">
        <f t="shared" si="5"/>
        <v/>
      </c>
    </row>
    <row r="91" spans="1:7">
      <c r="A91" s="157" t="s">
        <v>294</v>
      </c>
      <c r="B91" s="163" t="str">
        <f>'N1 Fitment'!N23</f>
        <v>Opt2</v>
      </c>
      <c r="C91" s="157" t="s">
        <v>238</v>
      </c>
      <c r="G91" s="157" t="str">
        <f t="shared" si="5"/>
        <v/>
      </c>
    </row>
    <row r="92" spans="1:7">
      <c r="A92" s="157" t="s">
        <v>461</v>
      </c>
      <c r="B92" s="163" t="str">
        <f>'N1 Fitment'!N24</f>
        <v>N/A</v>
      </c>
      <c r="C92" s="157" t="s">
        <v>238</v>
      </c>
      <c r="G92" s="157" t="str">
        <f t="shared" si="5"/>
        <v/>
      </c>
    </row>
    <row r="93" spans="1:7">
      <c r="A93" s="157" t="s">
        <v>296</v>
      </c>
      <c r="B93" s="163" t="str">
        <f>'N1 Fitment'!N25</f>
        <v>N/A</v>
      </c>
      <c r="C93" s="157" t="s">
        <v>238</v>
      </c>
      <c r="G93" s="157" t="str">
        <f t="shared" si="5"/>
        <v/>
      </c>
    </row>
    <row r="94" spans="1:7">
      <c r="A94" s="157" t="s">
        <v>462</v>
      </c>
      <c r="B94" s="163" t="str">
        <f>'N1 Fitment'!N27</f>
        <v>Opt2</v>
      </c>
      <c r="C94" s="157" t="s">
        <v>238</v>
      </c>
      <c r="G94" s="157" t="str">
        <f t="shared" si="5"/>
        <v/>
      </c>
    </row>
    <row r="95" spans="1:7">
      <c r="A95" s="157" t="s">
        <v>463</v>
      </c>
      <c r="B95" s="163" t="str">
        <f>'N1 Fitment'!N28</f>
        <v>Opt2</v>
      </c>
      <c r="C95" s="157" t="s">
        <v>238</v>
      </c>
      <c r="G95" s="157" t="str">
        <f t="shared" si="5"/>
        <v/>
      </c>
    </row>
    <row r="96" spans="1:7">
      <c r="A96" s="157" t="s">
        <v>464</v>
      </c>
      <c r="B96" s="163" t="str">
        <f>'N1 Fitment'!N29</f>
        <v>Opt2</v>
      </c>
      <c r="C96" s="157" t="s">
        <v>238</v>
      </c>
      <c r="G96" s="157" t="str">
        <f t="shared" si="5"/>
        <v/>
      </c>
    </row>
    <row r="97" spans="1:7">
      <c r="A97" s="157" t="s">
        <v>465</v>
      </c>
      <c r="B97" s="163" t="str">
        <f>'N1 Fitment'!N30</f>
        <v>N/A</v>
      </c>
      <c r="C97" s="157" t="s">
        <v>238</v>
      </c>
      <c r="G97" s="157" t="str">
        <f t="shared" si="5"/>
        <v/>
      </c>
    </row>
    <row r="98" spans="1:7">
      <c r="A98" s="157" t="s">
        <v>466</v>
      </c>
      <c r="B98" s="163" t="str">
        <f>'N1 Fitment'!N31</f>
        <v>N/A</v>
      </c>
      <c r="C98" s="157" t="s">
        <v>238</v>
      </c>
      <c r="G98" s="157" t="str">
        <f t="shared" si="5"/>
        <v/>
      </c>
    </row>
    <row r="99" spans="1:7">
      <c r="A99" s="157" t="s">
        <v>295</v>
      </c>
      <c r="B99" s="163" t="str">
        <f>'N1 Fitment'!N32</f>
        <v>N/A</v>
      </c>
      <c r="C99" s="157" t="s">
        <v>238</v>
      </c>
      <c r="G99" s="157" t="str">
        <f t="shared" si="5"/>
        <v/>
      </c>
    </row>
    <row r="100" spans="1:7">
      <c r="A100" s="157" t="s">
        <v>467</v>
      </c>
      <c r="B100" s="163" t="str">
        <f>'N1 Fitment'!N33</f>
        <v>Opt2</v>
      </c>
      <c r="C100" s="157" t="s">
        <v>238</v>
      </c>
      <c r="G100" s="157" t="str">
        <f t="shared" si="5"/>
        <v/>
      </c>
    </row>
    <row r="101" spans="1:7">
      <c r="A101" s="157" t="s">
        <v>468</v>
      </c>
      <c r="B101" s="163" t="str">
        <f>'N1 Fitment'!N34</f>
        <v>Opt2</v>
      </c>
      <c r="C101" s="157" t="s">
        <v>238</v>
      </c>
      <c r="G101" s="157" t="str">
        <f t="shared" si="5"/>
        <v/>
      </c>
    </row>
    <row r="102" spans="1:7">
      <c r="A102" s="157" t="s">
        <v>469</v>
      </c>
      <c r="B102" s="163" t="str">
        <f>'N1 Fitment'!O6</f>
        <v>Opt2</v>
      </c>
      <c r="C102" s="157" t="s">
        <v>238</v>
      </c>
      <c r="G102" s="157" t="str">
        <f t="shared" si="5"/>
        <v/>
      </c>
    </row>
    <row r="103" spans="1:7">
      <c r="A103" s="157" t="s">
        <v>470</v>
      </c>
      <c r="B103" s="163" t="str">
        <f>'N1 Fitment'!O7</f>
        <v>N/A</v>
      </c>
      <c r="C103" s="157" t="s">
        <v>238</v>
      </c>
      <c r="G103" s="157" t="str">
        <f t="shared" si="5"/>
        <v/>
      </c>
    </row>
    <row r="104" spans="1:7">
      <c r="A104" s="157" t="s">
        <v>471</v>
      </c>
      <c r="B104" s="163" t="str">
        <f>'N1 Fitment'!O8</f>
        <v>N/A</v>
      </c>
      <c r="C104" s="157" t="s">
        <v>238</v>
      </c>
      <c r="G104" s="157" t="str">
        <f t="shared" si="5"/>
        <v/>
      </c>
    </row>
    <row r="105" spans="1:7">
      <c r="A105" s="157" t="s">
        <v>472</v>
      </c>
      <c r="B105" s="163" t="str">
        <f>'N1 Fitment'!O9</f>
        <v>N/A</v>
      </c>
      <c r="C105" s="157" t="s">
        <v>238</v>
      </c>
      <c r="G105" s="157" t="str">
        <f t="shared" si="5"/>
        <v/>
      </c>
    </row>
    <row r="106" spans="1:7">
      <c r="A106" s="157" t="s">
        <v>473</v>
      </c>
      <c r="B106" s="163" t="str">
        <f>'N1 Fitment'!O10</f>
        <v>N/A</v>
      </c>
      <c r="C106" s="157" t="s">
        <v>238</v>
      </c>
      <c r="G106" s="157" t="str">
        <f t="shared" si="5"/>
        <v/>
      </c>
    </row>
    <row r="107" spans="1:7">
      <c r="A107" s="157" t="s">
        <v>474</v>
      </c>
      <c r="B107" s="163" t="str">
        <f>'N1 Fitment'!O11</f>
        <v>Opt2</v>
      </c>
      <c r="C107" s="157" t="s">
        <v>238</v>
      </c>
      <c r="G107" s="157" t="str">
        <f t="shared" si="5"/>
        <v/>
      </c>
    </row>
    <row r="108" spans="1:7">
      <c r="A108" s="157" t="s">
        <v>475</v>
      </c>
      <c r="B108" s="163" t="str">
        <f>'N1 Fitment'!O12</f>
        <v>Opt2</v>
      </c>
      <c r="C108" s="157" t="s">
        <v>238</v>
      </c>
      <c r="G108" s="157" t="str">
        <f t="shared" si="5"/>
        <v/>
      </c>
    </row>
    <row r="109" spans="1:7">
      <c r="A109" s="157" t="s">
        <v>476</v>
      </c>
      <c r="B109" s="163" t="str">
        <f>'N1 Fitment'!O13</f>
        <v>N/A</v>
      </c>
      <c r="C109" s="157" t="s">
        <v>238</v>
      </c>
      <c r="G109" s="157" t="str">
        <f t="shared" si="5"/>
        <v/>
      </c>
    </row>
    <row r="110" spans="1:7">
      <c r="A110" s="157" t="s">
        <v>477</v>
      </c>
      <c r="B110" s="163" t="str">
        <f>'N1 Fitment'!O14</f>
        <v>Opt2</v>
      </c>
      <c r="C110" s="157" t="s">
        <v>238</v>
      </c>
      <c r="G110" s="157" t="str">
        <f t="shared" si="5"/>
        <v/>
      </c>
    </row>
    <row r="111" spans="1:7">
      <c r="A111" s="157" t="s">
        <v>297</v>
      </c>
      <c r="B111" s="163" t="str">
        <f>'N1 Fitment'!O15</f>
        <v>N/A</v>
      </c>
      <c r="C111" s="157" t="s">
        <v>238</v>
      </c>
      <c r="G111" s="157" t="str">
        <f t="shared" si="5"/>
        <v/>
      </c>
    </row>
    <row r="112" spans="1:7">
      <c r="A112" s="157" t="s">
        <v>298</v>
      </c>
      <c r="B112" s="163" t="str">
        <f>'N1 Fitment'!O16</f>
        <v>Opt2</v>
      </c>
      <c r="C112" s="157" t="s">
        <v>238</v>
      </c>
      <c r="G112" s="157" t="str">
        <f t="shared" si="5"/>
        <v/>
      </c>
    </row>
    <row r="113" spans="1:7">
      <c r="A113" s="157" t="s">
        <v>478</v>
      </c>
      <c r="B113" s="163" t="str">
        <f>'N1 Fitment'!O17</f>
        <v>N/A</v>
      </c>
      <c r="C113" s="157" t="s">
        <v>238</v>
      </c>
      <c r="G113" s="157" t="str">
        <f t="shared" si="5"/>
        <v/>
      </c>
    </row>
    <row r="114" spans="1:7">
      <c r="A114" s="157" t="s">
        <v>479</v>
      </c>
      <c r="B114" s="163" t="str">
        <f>'N1 Fitment'!O18</f>
        <v>Opt2</v>
      </c>
      <c r="C114" s="157" t="s">
        <v>238</v>
      </c>
      <c r="G114" s="157" t="str">
        <f t="shared" si="5"/>
        <v/>
      </c>
    </row>
    <row r="115" spans="1:7">
      <c r="A115" s="157" t="s">
        <v>480</v>
      </c>
      <c r="B115" s="163" t="str">
        <f>'N1 Fitment'!O19</f>
        <v>N/A</v>
      </c>
      <c r="C115" s="157" t="s">
        <v>238</v>
      </c>
      <c r="G115" s="157" t="str">
        <f t="shared" si="5"/>
        <v/>
      </c>
    </row>
    <row r="116" spans="1:7">
      <c r="A116" s="157" t="s">
        <v>299</v>
      </c>
      <c r="B116" s="163" t="str">
        <f>'N1 Fitment'!O20</f>
        <v>Opt2</v>
      </c>
      <c r="C116" s="157" t="s">
        <v>238</v>
      </c>
      <c r="G116" s="157" t="str">
        <f t="shared" si="5"/>
        <v/>
      </c>
    </row>
    <row r="117" spans="1:7">
      <c r="A117" s="157" t="s">
        <v>481</v>
      </c>
      <c r="B117" s="163" t="str">
        <f>'N1 Fitment'!O21</f>
        <v>N/A</v>
      </c>
      <c r="C117" s="157" t="s">
        <v>238</v>
      </c>
      <c r="G117" s="157" t="str">
        <f t="shared" si="5"/>
        <v/>
      </c>
    </row>
    <row r="118" spans="1:7">
      <c r="A118" s="157" t="s">
        <v>482</v>
      </c>
      <c r="B118" s="163" t="str">
        <f>'N1 Fitment'!O22</f>
        <v>Opt2</v>
      </c>
      <c r="C118" s="157" t="s">
        <v>238</v>
      </c>
      <c r="G118" s="157" t="str">
        <f t="shared" si="5"/>
        <v/>
      </c>
    </row>
    <row r="119" spans="1:7">
      <c r="A119" s="157" t="s">
        <v>300</v>
      </c>
      <c r="B119" s="163" t="str">
        <f>'N1 Fitment'!O23</f>
        <v>Opt2</v>
      </c>
      <c r="C119" s="157" t="s">
        <v>238</v>
      </c>
      <c r="G119" s="157" t="str">
        <f t="shared" si="5"/>
        <v/>
      </c>
    </row>
    <row r="120" spans="1:7">
      <c r="A120" s="157" t="s">
        <v>483</v>
      </c>
      <c r="B120" s="163" t="str">
        <f>'N1 Fitment'!O24</f>
        <v>N/A</v>
      </c>
      <c r="C120" s="157" t="s">
        <v>238</v>
      </c>
      <c r="G120" s="157" t="str">
        <f t="shared" si="5"/>
        <v/>
      </c>
    </row>
    <row r="121" spans="1:7">
      <c r="A121" s="157" t="s">
        <v>302</v>
      </c>
      <c r="B121" s="163" t="str">
        <f>'N1 Fitment'!O25</f>
        <v>N/A</v>
      </c>
      <c r="C121" s="157" t="s">
        <v>238</v>
      </c>
      <c r="G121" s="157" t="str">
        <f t="shared" si="5"/>
        <v/>
      </c>
    </row>
    <row r="122" spans="1:7">
      <c r="A122" s="157" t="s">
        <v>484</v>
      </c>
      <c r="B122" s="163" t="str">
        <f>'N1 Fitment'!O27</f>
        <v>Opt2</v>
      </c>
      <c r="C122" s="157" t="s">
        <v>238</v>
      </c>
      <c r="G122" s="157" t="str">
        <f t="shared" si="5"/>
        <v/>
      </c>
    </row>
    <row r="123" spans="1:7">
      <c r="A123" s="157" t="s">
        <v>485</v>
      </c>
      <c r="B123" s="163" t="str">
        <f>'N1 Fitment'!O28</f>
        <v>Opt2</v>
      </c>
      <c r="C123" s="157" t="s">
        <v>238</v>
      </c>
      <c r="G123" s="157" t="str">
        <f t="shared" si="5"/>
        <v/>
      </c>
    </row>
    <row r="124" spans="1:7">
      <c r="A124" s="157" t="s">
        <v>486</v>
      </c>
      <c r="B124" s="163" t="str">
        <f>'N1 Fitment'!O29</f>
        <v>Opt2</v>
      </c>
      <c r="C124" s="157" t="s">
        <v>238</v>
      </c>
      <c r="G124" s="157" t="str">
        <f t="shared" si="5"/>
        <v/>
      </c>
    </row>
    <row r="125" spans="1:7">
      <c r="A125" s="157" t="s">
        <v>487</v>
      </c>
      <c r="B125" s="163" t="str">
        <f>'N1 Fitment'!O30</f>
        <v>N/A</v>
      </c>
      <c r="C125" s="157" t="s">
        <v>238</v>
      </c>
      <c r="G125" s="157" t="str">
        <f t="shared" si="5"/>
        <v/>
      </c>
    </row>
    <row r="126" spans="1:7">
      <c r="A126" s="157" t="s">
        <v>488</v>
      </c>
      <c r="B126" s="163" t="str">
        <f>'N1 Fitment'!O31</f>
        <v>N/A</v>
      </c>
      <c r="C126" s="157" t="s">
        <v>238</v>
      </c>
      <c r="G126" s="157" t="str">
        <f t="shared" si="5"/>
        <v/>
      </c>
    </row>
    <row r="127" spans="1:7">
      <c r="A127" s="157" t="s">
        <v>301</v>
      </c>
      <c r="B127" s="163" t="str">
        <f>'N1 Fitment'!O32</f>
        <v>N/A</v>
      </c>
      <c r="C127" s="157" t="s">
        <v>238</v>
      </c>
      <c r="G127" s="157" t="str">
        <f t="shared" si="5"/>
        <v/>
      </c>
    </row>
    <row r="128" spans="1:7">
      <c r="A128" s="157" t="s">
        <v>489</v>
      </c>
      <c r="B128" s="163" t="str">
        <f>'N1 Fitment'!O33</f>
        <v>Opt2</v>
      </c>
      <c r="C128" s="157" t="s">
        <v>238</v>
      </c>
      <c r="G128" s="157" t="str">
        <f t="shared" si="5"/>
        <v/>
      </c>
    </row>
    <row r="129" spans="1:7">
      <c r="A129" s="157" t="s">
        <v>490</v>
      </c>
      <c r="B129" s="163" t="str">
        <f>'N1 Fitment'!O34</f>
        <v>Opt2</v>
      </c>
      <c r="C129" s="157" t="s">
        <v>238</v>
      </c>
      <c r="G129" s="157" t="str">
        <f t="shared" si="5"/>
        <v/>
      </c>
    </row>
    <row r="130" spans="1:7">
      <c r="A130" s="157" t="s">
        <v>491</v>
      </c>
      <c r="B130" s="163" t="str">
        <f>'N1 Fitment'!P6</f>
        <v>N/A</v>
      </c>
      <c r="C130" s="157" t="s">
        <v>238</v>
      </c>
      <c r="G130" s="157" t="str">
        <f t="shared" si="5"/>
        <v/>
      </c>
    </row>
    <row r="131" spans="1:7">
      <c r="A131" s="157" t="s">
        <v>492</v>
      </c>
      <c r="B131" s="163" t="str">
        <f>'N1 Fitment'!P7</f>
        <v>N/A</v>
      </c>
      <c r="C131" s="157" t="s">
        <v>238</v>
      </c>
      <c r="G131" s="157" t="str">
        <f t="shared" si="5"/>
        <v/>
      </c>
    </row>
    <row r="132" spans="1:7">
      <c r="A132" s="157" t="s">
        <v>493</v>
      </c>
      <c r="B132" s="163" t="str">
        <f>'N1 Fitment'!P8</f>
        <v>N/A</v>
      </c>
      <c r="C132" s="157" t="s">
        <v>238</v>
      </c>
      <c r="G132" s="157" t="str">
        <f t="shared" si="5"/>
        <v/>
      </c>
    </row>
    <row r="133" spans="1:7">
      <c r="A133" s="157" t="s">
        <v>494</v>
      </c>
      <c r="B133" s="163" t="str">
        <f>'N1 Fitment'!P9</f>
        <v>N/A</v>
      </c>
      <c r="C133" s="157" t="s">
        <v>238</v>
      </c>
      <c r="G133" s="157" t="str">
        <f t="shared" si="5"/>
        <v/>
      </c>
    </row>
    <row r="134" spans="1:7">
      <c r="A134" s="157" t="s">
        <v>495</v>
      </c>
      <c r="B134" s="163" t="str">
        <f>'N1 Fitment'!P10</f>
        <v>N/A</v>
      </c>
      <c r="C134" s="157" t="s">
        <v>238</v>
      </c>
      <c r="G134" s="157" t="str">
        <f t="shared" ref="G134:G197" si="6">IF(OR(B134=0,B134=" ",B134=""),0,"")</f>
        <v/>
      </c>
    </row>
    <row r="135" spans="1:7">
      <c r="A135" s="157" t="s">
        <v>496</v>
      </c>
      <c r="B135" s="163" t="str">
        <f>'N1 Fitment'!P11</f>
        <v>N/A</v>
      </c>
      <c r="C135" s="157" t="s">
        <v>238</v>
      </c>
      <c r="G135" s="157" t="str">
        <f t="shared" si="6"/>
        <v/>
      </c>
    </row>
    <row r="136" spans="1:7">
      <c r="A136" s="157" t="s">
        <v>497</v>
      </c>
      <c r="B136" s="163" t="str">
        <f>'N1 Fitment'!P12</f>
        <v>N/A</v>
      </c>
      <c r="C136" s="157" t="s">
        <v>238</v>
      </c>
      <c r="G136" s="157" t="str">
        <f t="shared" si="6"/>
        <v/>
      </c>
    </row>
    <row r="137" spans="1:7">
      <c r="A137" s="157" t="s">
        <v>498</v>
      </c>
      <c r="B137" s="163" t="str">
        <f>'N1 Fitment'!P13</f>
        <v>N/A</v>
      </c>
      <c r="C137" s="157" t="s">
        <v>238</v>
      </c>
      <c r="G137" s="157" t="str">
        <f t="shared" si="6"/>
        <v/>
      </c>
    </row>
    <row r="138" spans="1:7">
      <c r="A138" s="157" t="s">
        <v>499</v>
      </c>
      <c r="B138" s="163" t="str">
        <f>'N1 Fitment'!P14</f>
        <v>N/A</v>
      </c>
      <c r="C138" s="157" t="s">
        <v>238</v>
      </c>
      <c r="G138" s="157" t="str">
        <f t="shared" si="6"/>
        <v/>
      </c>
    </row>
    <row r="139" spans="1:7">
      <c r="A139" s="157" t="s">
        <v>303</v>
      </c>
      <c r="B139" s="163" t="str">
        <f>'N1 Fitment'!P15</f>
        <v>N/A</v>
      </c>
      <c r="C139" s="157" t="s">
        <v>238</v>
      </c>
      <c r="G139" s="157" t="str">
        <f t="shared" si="6"/>
        <v/>
      </c>
    </row>
    <row r="140" spans="1:7">
      <c r="A140" s="157" t="s">
        <v>304</v>
      </c>
      <c r="B140" s="163" t="str">
        <f>'N1 Fitment'!P16</f>
        <v>N/A</v>
      </c>
      <c r="C140" s="157" t="s">
        <v>238</v>
      </c>
      <c r="G140" s="157" t="str">
        <f t="shared" si="6"/>
        <v/>
      </c>
    </row>
    <row r="141" spans="1:7">
      <c r="A141" s="157" t="s">
        <v>500</v>
      </c>
      <c r="B141" s="163" t="str">
        <f>'N1 Fitment'!P17</f>
        <v>N/A</v>
      </c>
      <c r="C141" s="157" t="s">
        <v>238</v>
      </c>
      <c r="G141" s="157" t="str">
        <f t="shared" si="6"/>
        <v/>
      </c>
    </row>
    <row r="142" spans="1:7">
      <c r="A142" s="157" t="s">
        <v>501</v>
      </c>
      <c r="B142" s="163" t="str">
        <f>'N1 Fitment'!P18</f>
        <v>N/A</v>
      </c>
      <c r="C142" s="157" t="s">
        <v>238</v>
      </c>
      <c r="G142" s="157" t="str">
        <f t="shared" si="6"/>
        <v/>
      </c>
    </row>
    <row r="143" spans="1:7">
      <c r="A143" s="157" t="s">
        <v>502</v>
      </c>
      <c r="B143" s="163" t="str">
        <f>'N1 Fitment'!P19</f>
        <v>N/A</v>
      </c>
      <c r="C143" s="157" t="s">
        <v>238</v>
      </c>
      <c r="G143" s="157" t="str">
        <f t="shared" si="6"/>
        <v/>
      </c>
    </row>
    <row r="144" spans="1:7">
      <c r="A144" s="157" t="s">
        <v>305</v>
      </c>
      <c r="B144" s="163" t="str">
        <f>'N1 Fitment'!P20</f>
        <v>N/A</v>
      </c>
      <c r="C144" s="157" t="s">
        <v>238</v>
      </c>
      <c r="G144" s="157" t="str">
        <f t="shared" si="6"/>
        <v/>
      </c>
    </row>
    <row r="145" spans="1:7">
      <c r="A145" s="157" t="s">
        <v>503</v>
      </c>
      <c r="B145" s="163" t="str">
        <f>'N1 Fitment'!P21</f>
        <v>N/A</v>
      </c>
      <c r="C145" s="157" t="s">
        <v>238</v>
      </c>
      <c r="G145" s="157" t="str">
        <f t="shared" si="6"/>
        <v/>
      </c>
    </row>
    <row r="146" spans="1:7">
      <c r="A146" s="157" t="s">
        <v>504</v>
      </c>
      <c r="B146" s="163" t="str">
        <f>'N1 Fitment'!P22</f>
        <v>N/A</v>
      </c>
      <c r="C146" s="157" t="s">
        <v>238</v>
      </c>
      <c r="G146" s="157" t="str">
        <f t="shared" si="6"/>
        <v/>
      </c>
    </row>
    <row r="147" spans="1:7">
      <c r="A147" s="157" t="s">
        <v>306</v>
      </c>
      <c r="B147" s="163" t="str">
        <f>'N1 Fitment'!P23</f>
        <v>N/A</v>
      </c>
      <c r="C147" s="157" t="s">
        <v>238</v>
      </c>
      <c r="G147" s="157" t="str">
        <f t="shared" si="6"/>
        <v/>
      </c>
    </row>
    <row r="148" spans="1:7">
      <c r="A148" s="157" t="s">
        <v>505</v>
      </c>
      <c r="B148" s="163" t="str">
        <f>'N1 Fitment'!P24</f>
        <v>N/A</v>
      </c>
      <c r="C148" s="157" t="s">
        <v>238</v>
      </c>
      <c r="G148" s="157" t="str">
        <f t="shared" si="6"/>
        <v/>
      </c>
    </row>
    <row r="149" spans="1:7">
      <c r="A149" s="157" t="s">
        <v>308</v>
      </c>
      <c r="B149" s="163" t="str">
        <f>'N1 Fitment'!P25</f>
        <v>N/A</v>
      </c>
      <c r="C149" s="157" t="s">
        <v>238</v>
      </c>
      <c r="G149" s="157" t="str">
        <f t="shared" si="6"/>
        <v/>
      </c>
    </row>
    <row r="150" spans="1:7">
      <c r="A150" s="157" t="s">
        <v>506</v>
      </c>
      <c r="B150" s="163" t="str">
        <f>'N1 Fitment'!P27</f>
        <v>N/A</v>
      </c>
      <c r="C150" s="157" t="s">
        <v>238</v>
      </c>
      <c r="G150" s="157" t="str">
        <f t="shared" si="6"/>
        <v/>
      </c>
    </row>
    <row r="151" spans="1:7">
      <c r="A151" s="157" t="s">
        <v>507</v>
      </c>
      <c r="B151" s="163" t="str">
        <f>'N1 Fitment'!P28</f>
        <v>N/A</v>
      </c>
      <c r="C151" s="157" t="s">
        <v>238</v>
      </c>
      <c r="G151" s="157" t="str">
        <f t="shared" si="6"/>
        <v/>
      </c>
    </row>
    <row r="152" spans="1:7">
      <c r="A152" s="157" t="s">
        <v>508</v>
      </c>
      <c r="B152" s="163" t="str">
        <f>'N1 Fitment'!P29</f>
        <v>N/A</v>
      </c>
      <c r="C152" s="157" t="s">
        <v>238</v>
      </c>
      <c r="G152" s="157" t="str">
        <f t="shared" si="6"/>
        <v/>
      </c>
    </row>
    <row r="153" spans="1:7">
      <c r="A153" s="157" t="s">
        <v>509</v>
      </c>
      <c r="B153" s="163" t="str">
        <f>'N1 Fitment'!P30</f>
        <v>N/A</v>
      </c>
      <c r="C153" s="157" t="s">
        <v>238</v>
      </c>
      <c r="G153" s="157" t="str">
        <f t="shared" si="6"/>
        <v/>
      </c>
    </row>
    <row r="154" spans="1:7">
      <c r="A154" s="157" t="s">
        <v>510</v>
      </c>
      <c r="B154" s="163" t="str">
        <f>'N1 Fitment'!P31</f>
        <v>N/A</v>
      </c>
      <c r="C154" s="157" t="s">
        <v>238</v>
      </c>
      <c r="G154" s="157" t="str">
        <f t="shared" si="6"/>
        <v/>
      </c>
    </row>
    <row r="155" spans="1:7">
      <c r="A155" s="157" t="s">
        <v>307</v>
      </c>
      <c r="B155" s="163" t="str">
        <f>'N1 Fitment'!P32</f>
        <v>N/A</v>
      </c>
      <c r="C155" s="157" t="s">
        <v>238</v>
      </c>
      <c r="G155" s="157" t="str">
        <f t="shared" si="6"/>
        <v/>
      </c>
    </row>
    <row r="156" spans="1:7">
      <c r="A156" s="157" t="s">
        <v>511</v>
      </c>
      <c r="B156" s="163" t="str">
        <f>'N1 Fitment'!P33</f>
        <v>N/A</v>
      </c>
      <c r="C156" s="157" t="s">
        <v>238</v>
      </c>
      <c r="G156" s="157" t="str">
        <f t="shared" si="6"/>
        <v/>
      </c>
    </row>
    <row r="157" spans="1:7">
      <c r="A157" s="157" t="s">
        <v>512</v>
      </c>
      <c r="B157" s="163" t="str">
        <f>'N1 Fitment'!P34</f>
        <v>N/A</v>
      </c>
      <c r="C157" s="157" t="s">
        <v>238</v>
      </c>
      <c r="G157" s="157" t="str">
        <f t="shared" si="6"/>
        <v/>
      </c>
    </row>
    <row r="158" spans="1:7">
      <c r="A158" s="157" t="s">
        <v>513</v>
      </c>
      <c r="B158" s="163" t="str">
        <f>'N1 Fitment'!Q6</f>
        <v>N/A</v>
      </c>
      <c r="C158" s="157" t="s">
        <v>238</v>
      </c>
      <c r="G158" s="157" t="str">
        <f t="shared" si="6"/>
        <v/>
      </c>
    </row>
    <row r="159" spans="1:7">
      <c r="A159" s="157" t="s">
        <v>514</v>
      </c>
      <c r="B159" s="163" t="str">
        <f>'N1 Fitment'!Q7</f>
        <v>N/A</v>
      </c>
      <c r="C159" s="157" t="s">
        <v>238</v>
      </c>
      <c r="G159" s="157" t="str">
        <f t="shared" si="6"/>
        <v/>
      </c>
    </row>
    <row r="160" spans="1:7">
      <c r="A160" s="157" t="s">
        <v>515</v>
      </c>
      <c r="B160" s="163" t="str">
        <f>'N1 Fitment'!Q8</f>
        <v>N/A</v>
      </c>
      <c r="C160" s="157" t="s">
        <v>238</v>
      </c>
      <c r="G160" s="157" t="str">
        <f t="shared" si="6"/>
        <v/>
      </c>
    </row>
    <row r="161" spans="1:7">
      <c r="A161" s="157" t="s">
        <v>516</v>
      </c>
      <c r="B161" s="163" t="str">
        <f>'N1 Fitment'!Q9</f>
        <v>N/A</v>
      </c>
      <c r="C161" s="157" t="s">
        <v>238</v>
      </c>
      <c r="G161" s="157" t="str">
        <f t="shared" si="6"/>
        <v/>
      </c>
    </row>
    <row r="162" spans="1:7">
      <c r="A162" s="157" t="s">
        <v>517</v>
      </c>
      <c r="B162" s="163" t="str">
        <f>'N1 Fitment'!Q10</f>
        <v>N/A</v>
      </c>
      <c r="C162" s="157" t="s">
        <v>238</v>
      </c>
      <c r="G162" s="157" t="str">
        <f t="shared" si="6"/>
        <v/>
      </c>
    </row>
    <row r="163" spans="1:7">
      <c r="A163" s="157" t="s">
        <v>518</v>
      </c>
      <c r="B163" s="163" t="str">
        <f>'N1 Fitment'!Q11</f>
        <v>N/A</v>
      </c>
      <c r="C163" s="157" t="s">
        <v>238</v>
      </c>
      <c r="G163" s="157" t="str">
        <f t="shared" si="6"/>
        <v/>
      </c>
    </row>
    <row r="164" spans="1:7">
      <c r="A164" s="157" t="s">
        <v>519</v>
      </c>
      <c r="B164" s="163" t="str">
        <f>'N1 Fitment'!Q12</f>
        <v>N/A</v>
      </c>
      <c r="C164" s="157" t="s">
        <v>238</v>
      </c>
      <c r="G164" s="157" t="str">
        <f t="shared" si="6"/>
        <v/>
      </c>
    </row>
    <row r="165" spans="1:7">
      <c r="A165" s="157" t="s">
        <v>520</v>
      </c>
      <c r="B165" s="163" t="str">
        <f>'N1 Fitment'!Q13</f>
        <v>N/A</v>
      </c>
      <c r="C165" s="157" t="s">
        <v>238</v>
      </c>
      <c r="G165" s="157" t="str">
        <f t="shared" si="6"/>
        <v/>
      </c>
    </row>
    <row r="166" spans="1:7">
      <c r="A166" s="157" t="s">
        <v>521</v>
      </c>
      <c r="B166" s="163" t="str">
        <f>'N1 Fitment'!Q14</f>
        <v>N/A</v>
      </c>
      <c r="C166" s="157" t="s">
        <v>238</v>
      </c>
      <c r="G166" s="157" t="str">
        <f t="shared" si="6"/>
        <v/>
      </c>
    </row>
    <row r="167" spans="1:7">
      <c r="A167" s="157" t="s">
        <v>309</v>
      </c>
      <c r="B167" s="163" t="str">
        <f>'N1 Fitment'!Q15</f>
        <v>N/A</v>
      </c>
      <c r="C167" s="157" t="s">
        <v>238</v>
      </c>
      <c r="G167" s="157" t="str">
        <f t="shared" si="6"/>
        <v/>
      </c>
    </row>
    <row r="168" spans="1:7">
      <c r="A168" s="157" t="s">
        <v>310</v>
      </c>
      <c r="B168" s="163" t="str">
        <f>'N1 Fitment'!Q16</f>
        <v>N/A</v>
      </c>
      <c r="C168" s="157" t="s">
        <v>238</v>
      </c>
      <c r="G168" s="157" t="str">
        <f t="shared" si="6"/>
        <v/>
      </c>
    </row>
    <row r="169" spans="1:7">
      <c r="A169" s="157" t="s">
        <v>522</v>
      </c>
      <c r="B169" s="163" t="str">
        <f>'N1 Fitment'!Q17</f>
        <v>N/A</v>
      </c>
      <c r="C169" s="157" t="s">
        <v>238</v>
      </c>
      <c r="G169" s="157" t="str">
        <f t="shared" si="6"/>
        <v/>
      </c>
    </row>
    <row r="170" spans="1:7">
      <c r="A170" s="157" t="s">
        <v>523</v>
      </c>
      <c r="B170" s="163" t="str">
        <f>'N1 Fitment'!Q18</f>
        <v>N/A</v>
      </c>
      <c r="C170" s="157" t="s">
        <v>238</v>
      </c>
      <c r="G170" s="157" t="str">
        <f t="shared" si="6"/>
        <v/>
      </c>
    </row>
    <row r="171" spans="1:7">
      <c r="A171" s="157" t="s">
        <v>524</v>
      </c>
      <c r="B171" s="163" t="str">
        <f>'N1 Fitment'!Q19</f>
        <v>N/A</v>
      </c>
      <c r="C171" s="157" t="s">
        <v>238</v>
      </c>
      <c r="G171" s="157" t="str">
        <f t="shared" si="6"/>
        <v/>
      </c>
    </row>
    <row r="172" spans="1:7">
      <c r="A172" s="157" t="s">
        <v>311</v>
      </c>
      <c r="B172" s="163" t="str">
        <f>'N1 Fitment'!Q20</f>
        <v>N/A</v>
      </c>
      <c r="C172" s="157" t="s">
        <v>238</v>
      </c>
      <c r="G172" s="157" t="str">
        <f t="shared" si="6"/>
        <v/>
      </c>
    </row>
    <row r="173" spans="1:7">
      <c r="A173" s="157" t="s">
        <v>525</v>
      </c>
      <c r="B173" s="163" t="str">
        <f>'N1 Fitment'!Q21</f>
        <v>N/A</v>
      </c>
      <c r="C173" s="157" t="s">
        <v>238</v>
      </c>
      <c r="G173" s="157" t="str">
        <f t="shared" si="6"/>
        <v/>
      </c>
    </row>
    <row r="174" spans="1:7">
      <c r="A174" s="157" t="s">
        <v>526</v>
      </c>
      <c r="B174" s="163" t="str">
        <f>'N1 Fitment'!Q22</f>
        <v>N/A</v>
      </c>
      <c r="C174" s="157" t="s">
        <v>238</v>
      </c>
      <c r="G174" s="157" t="str">
        <f t="shared" si="6"/>
        <v/>
      </c>
    </row>
    <row r="175" spans="1:7">
      <c r="A175" s="157" t="s">
        <v>312</v>
      </c>
      <c r="B175" s="163" t="str">
        <f>'N1 Fitment'!Q23</f>
        <v>N/A</v>
      </c>
      <c r="C175" s="157" t="s">
        <v>238</v>
      </c>
      <c r="G175" s="157" t="str">
        <f t="shared" si="6"/>
        <v/>
      </c>
    </row>
    <row r="176" spans="1:7">
      <c r="A176" s="157" t="s">
        <v>527</v>
      </c>
      <c r="B176" s="163" t="str">
        <f>'N1 Fitment'!Q24</f>
        <v>N/A</v>
      </c>
      <c r="C176" s="157" t="s">
        <v>238</v>
      </c>
      <c r="G176" s="157" t="str">
        <f t="shared" si="6"/>
        <v/>
      </c>
    </row>
    <row r="177" spans="1:7">
      <c r="A177" s="157" t="s">
        <v>314</v>
      </c>
      <c r="B177" s="163" t="str">
        <f>'N1 Fitment'!Q25</f>
        <v>N/A</v>
      </c>
      <c r="C177" s="157" t="s">
        <v>238</v>
      </c>
      <c r="G177" s="157" t="str">
        <f t="shared" si="6"/>
        <v/>
      </c>
    </row>
    <row r="178" spans="1:7">
      <c r="A178" s="157" t="s">
        <v>528</v>
      </c>
      <c r="B178" s="163" t="str">
        <f>'N1 Fitment'!Q27</f>
        <v>N/A</v>
      </c>
      <c r="C178" s="157" t="s">
        <v>238</v>
      </c>
      <c r="G178" s="157" t="str">
        <f t="shared" si="6"/>
        <v/>
      </c>
    </row>
    <row r="179" spans="1:7">
      <c r="A179" s="157" t="s">
        <v>529</v>
      </c>
      <c r="B179" s="163" t="str">
        <f>'N1 Fitment'!Q28</f>
        <v>N/A</v>
      </c>
      <c r="C179" s="157" t="s">
        <v>238</v>
      </c>
      <c r="G179" s="157" t="str">
        <f t="shared" si="6"/>
        <v/>
      </c>
    </row>
    <row r="180" spans="1:7">
      <c r="A180" s="157" t="s">
        <v>530</v>
      </c>
      <c r="B180" s="163" t="str">
        <f>'N1 Fitment'!Q29</f>
        <v>N/A</v>
      </c>
      <c r="C180" s="157" t="s">
        <v>238</v>
      </c>
      <c r="G180" s="157" t="str">
        <f t="shared" si="6"/>
        <v/>
      </c>
    </row>
    <row r="181" spans="1:7">
      <c r="A181" s="157" t="s">
        <v>531</v>
      </c>
      <c r="B181" s="163" t="str">
        <f>'N1 Fitment'!Q30</f>
        <v>N/A</v>
      </c>
      <c r="C181" s="157" t="s">
        <v>238</v>
      </c>
      <c r="G181" s="157" t="str">
        <f t="shared" si="6"/>
        <v/>
      </c>
    </row>
    <row r="182" spans="1:7">
      <c r="A182" s="157" t="s">
        <v>532</v>
      </c>
      <c r="B182" s="163" t="str">
        <f>'N1 Fitment'!Q31</f>
        <v>N/A</v>
      </c>
      <c r="C182" s="157" t="s">
        <v>238</v>
      </c>
      <c r="G182" s="157" t="str">
        <f t="shared" si="6"/>
        <v/>
      </c>
    </row>
    <row r="183" spans="1:7">
      <c r="A183" s="157" t="s">
        <v>313</v>
      </c>
      <c r="B183" s="163" t="str">
        <f>'N1 Fitment'!Q32</f>
        <v>N/A</v>
      </c>
      <c r="C183" s="157" t="s">
        <v>238</v>
      </c>
      <c r="G183" s="157" t="str">
        <f t="shared" si="6"/>
        <v/>
      </c>
    </row>
    <row r="184" spans="1:7">
      <c r="A184" s="157" t="s">
        <v>533</v>
      </c>
      <c r="B184" s="163" t="str">
        <f>'N1 Fitment'!Q33</f>
        <v>N/A</v>
      </c>
      <c r="C184" s="157" t="s">
        <v>238</v>
      </c>
      <c r="G184" s="157" t="str">
        <f t="shared" si="6"/>
        <v/>
      </c>
    </row>
    <row r="185" spans="1:7">
      <c r="A185" s="157" t="s">
        <v>534</v>
      </c>
      <c r="B185" s="163" t="str">
        <f>'N1 Fitment'!Q34</f>
        <v>N/A</v>
      </c>
      <c r="C185" s="157" t="s">
        <v>238</v>
      </c>
      <c r="G185" s="157" t="str">
        <f t="shared" si="6"/>
        <v/>
      </c>
    </row>
    <row r="186" spans="1:7">
      <c r="A186" s="157" t="s">
        <v>535</v>
      </c>
      <c r="B186" s="163" t="str">
        <f>'N1 Fitment'!R6</f>
        <v>Opt2</v>
      </c>
      <c r="C186" s="157" t="s">
        <v>238</v>
      </c>
      <c r="G186" s="157" t="str">
        <f t="shared" si="6"/>
        <v/>
      </c>
    </row>
    <row r="187" spans="1:7">
      <c r="A187" s="157" t="s">
        <v>536</v>
      </c>
      <c r="B187" s="163" t="str">
        <f>'N1 Fitment'!R7</f>
        <v>N/A</v>
      </c>
      <c r="C187" s="157" t="s">
        <v>238</v>
      </c>
      <c r="G187" s="157" t="str">
        <f t="shared" si="6"/>
        <v/>
      </c>
    </row>
    <row r="188" spans="1:7">
      <c r="A188" s="157" t="s">
        <v>537</v>
      </c>
      <c r="B188" s="163" t="str">
        <f>'N1 Fitment'!R8</f>
        <v>N/A</v>
      </c>
      <c r="C188" s="157" t="s">
        <v>238</v>
      </c>
      <c r="G188" s="157" t="str">
        <f t="shared" si="6"/>
        <v/>
      </c>
    </row>
    <row r="189" spans="1:7">
      <c r="A189" s="157" t="s">
        <v>538</v>
      </c>
      <c r="B189" s="163" t="str">
        <f>'N1 Fitment'!R9</f>
        <v>Opt2</v>
      </c>
      <c r="C189" s="157" t="s">
        <v>238</v>
      </c>
      <c r="G189" s="157" t="str">
        <f t="shared" si="6"/>
        <v/>
      </c>
    </row>
    <row r="190" spans="1:7">
      <c r="A190" s="157" t="s">
        <v>539</v>
      </c>
      <c r="B190" s="163" t="str">
        <f>'N1 Fitment'!R10</f>
        <v>N/A</v>
      </c>
      <c r="C190" s="157" t="s">
        <v>238</v>
      </c>
      <c r="G190" s="157" t="str">
        <f t="shared" si="6"/>
        <v/>
      </c>
    </row>
    <row r="191" spans="1:7">
      <c r="A191" s="157" t="s">
        <v>540</v>
      </c>
      <c r="B191" s="163" t="str">
        <f>'N1 Fitment'!R11</f>
        <v>Opt2</v>
      </c>
      <c r="C191" s="157" t="s">
        <v>238</v>
      </c>
      <c r="G191" s="157" t="str">
        <f t="shared" si="6"/>
        <v/>
      </c>
    </row>
    <row r="192" spans="1:7">
      <c r="A192" s="157" t="s">
        <v>541</v>
      </c>
      <c r="B192" s="163" t="str">
        <f>'N1 Fitment'!R12</f>
        <v>Opt2</v>
      </c>
      <c r="C192" s="157" t="s">
        <v>238</v>
      </c>
      <c r="G192" s="157" t="str">
        <f t="shared" si="6"/>
        <v/>
      </c>
    </row>
    <row r="193" spans="1:7">
      <c r="A193" s="157" t="s">
        <v>542</v>
      </c>
      <c r="B193" s="163" t="str">
        <f>'N1 Fitment'!R13</f>
        <v>Opt2</v>
      </c>
      <c r="C193" s="157" t="s">
        <v>238</v>
      </c>
      <c r="G193" s="157" t="str">
        <f t="shared" si="6"/>
        <v/>
      </c>
    </row>
    <row r="194" spans="1:7">
      <c r="A194" s="157" t="s">
        <v>543</v>
      </c>
      <c r="B194" s="163" t="str">
        <f>'N1 Fitment'!R14</f>
        <v>Opt2</v>
      </c>
      <c r="C194" s="157" t="s">
        <v>238</v>
      </c>
      <c r="G194" s="157" t="str">
        <f t="shared" si="6"/>
        <v/>
      </c>
    </row>
    <row r="195" spans="1:7">
      <c r="A195" s="157" t="s">
        <v>315</v>
      </c>
      <c r="B195" s="163" t="str">
        <f>'N1 Fitment'!R15</f>
        <v>N/A</v>
      </c>
      <c r="C195" s="157" t="s">
        <v>238</v>
      </c>
      <c r="G195" s="157" t="str">
        <f t="shared" si="6"/>
        <v/>
      </c>
    </row>
    <row r="196" spans="1:7">
      <c r="A196" s="157" t="s">
        <v>316</v>
      </c>
      <c r="B196" s="163" t="str">
        <f>'N1 Fitment'!R16</f>
        <v>N/A</v>
      </c>
      <c r="C196" s="157" t="s">
        <v>238</v>
      </c>
      <c r="G196" s="157" t="str">
        <f t="shared" si="6"/>
        <v/>
      </c>
    </row>
    <row r="197" spans="1:7">
      <c r="A197" s="157" t="s">
        <v>544</v>
      </c>
      <c r="B197" s="163" t="str">
        <f>'N1 Fitment'!R17</f>
        <v>N/A</v>
      </c>
      <c r="C197" s="157" t="s">
        <v>238</v>
      </c>
      <c r="G197" s="157" t="str">
        <f t="shared" si="6"/>
        <v/>
      </c>
    </row>
    <row r="198" spans="1:7">
      <c r="A198" s="157" t="s">
        <v>545</v>
      </c>
      <c r="B198" s="163" t="str">
        <f>'N1 Fitment'!R18</f>
        <v>Opt2</v>
      </c>
      <c r="C198" s="157" t="s">
        <v>238</v>
      </c>
      <c r="G198" s="157" t="str">
        <f t="shared" ref="G198:G261" si="7">IF(OR(B198=0,B198=" ",B198=""),0,"")</f>
        <v/>
      </c>
    </row>
    <row r="199" spans="1:7">
      <c r="A199" s="157" t="s">
        <v>546</v>
      </c>
      <c r="B199" s="163" t="str">
        <f>'N1 Fitment'!R19</f>
        <v>N/A</v>
      </c>
      <c r="C199" s="157" t="s">
        <v>238</v>
      </c>
      <c r="G199" s="157" t="str">
        <f t="shared" si="7"/>
        <v/>
      </c>
    </row>
    <row r="200" spans="1:7">
      <c r="A200" s="157" t="s">
        <v>317</v>
      </c>
      <c r="B200" s="163" t="str">
        <f>'N1 Fitment'!R20</f>
        <v>Opt2</v>
      </c>
      <c r="C200" s="157" t="s">
        <v>238</v>
      </c>
      <c r="G200" s="157" t="str">
        <f t="shared" si="7"/>
        <v/>
      </c>
    </row>
    <row r="201" spans="1:7">
      <c r="A201" s="157" t="s">
        <v>547</v>
      </c>
      <c r="B201" s="163" t="str">
        <f>'N1 Fitment'!R21</f>
        <v>N/A</v>
      </c>
      <c r="C201" s="157" t="s">
        <v>238</v>
      </c>
      <c r="G201" s="157" t="str">
        <f t="shared" si="7"/>
        <v/>
      </c>
    </row>
    <row r="202" spans="1:7">
      <c r="A202" s="157" t="s">
        <v>548</v>
      </c>
      <c r="B202" s="163" t="str">
        <f>'N1 Fitment'!R22</f>
        <v>Opt2</v>
      </c>
      <c r="C202" s="157" t="s">
        <v>238</v>
      </c>
      <c r="G202" s="157" t="str">
        <f t="shared" si="7"/>
        <v/>
      </c>
    </row>
    <row r="203" spans="1:7">
      <c r="A203" s="157" t="s">
        <v>318</v>
      </c>
      <c r="B203" s="163" t="str">
        <f>'N1 Fitment'!R23</f>
        <v>Opt2</v>
      </c>
      <c r="C203" s="157" t="s">
        <v>238</v>
      </c>
      <c r="G203" s="157" t="str">
        <f t="shared" si="7"/>
        <v/>
      </c>
    </row>
    <row r="204" spans="1:7">
      <c r="A204" s="157" t="s">
        <v>549</v>
      </c>
      <c r="B204" s="163" t="str">
        <f>'N1 Fitment'!R24</f>
        <v>N/A</v>
      </c>
      <c r="C204" s="157" t="s">
        <v>238</v>
      </c>
      <c r="G204" s="157" t="str">
        <f t="shared" si="7"/>
        <v/>
      </c>
    </row>
    <row r="205" spans="1:7">
      <c r="A205" s="157" t="s">
        <v>320</v>
      </c>
      <c r="B205" s="163" t="str">
        <f>'N1 Fitment'!R25</f>
        <v>N/A</v>
      </c>
      <c r="C205" s="157" t="s">
        <v>238</v>
      </c>
      <c r="G205" s="157" t="str">
        <f t="shared" si="7"/>
        <v/>
      </c>
    </row>
    <row r="206" spans="1:7">
      <c r="A206" s="157" t="s">
        <v>550</v>
      </c>
      <c r="B206" s="163" t="str">
        <f>'N1 Fitment'!R27</f>
        <v>Opt2</v>
      </c>
      <c r="C206" s="157" t="s">
        <v>238</v>
      </c>
      <c r="G206" s="157" t="str">
        <f t="shared" si="7"/>
        <v/>
      </c>
    </row>
    <row r="207" spans="1:7">
      <c r="A207" s="157" t="s">
        <v>551</v>
      </c>
      <c r="B207" s="163" t="str">
        <f>'N1 Fitment'!R28</f>
        <v>Opt2</v>
      </c>
      <c r="C207" s="157" t="s">
        <v>238</v>
      </c>
      <c r="G207" s="157" t="str">
        <f t="shared" si="7"/>
        <v/>
      </c>
    </row>
    <row r="208" spans="1:7">
      <c r="A208" s="157" t="s">
        <v>552</v>
      </c>
      <c r="B208" s="163" t="str">
        <f>'N1 Fitment'!R29</f>
        <v>Opt2</v>
      </c>
      <c r="C208" s="157" t="s">
        <v>238</v>
      </c>
      <c r="G208" s="157" t="str">
        <f t="shared" si="7"/>
        <v/>
      </c>
    </row>
    <row r="209" spans="1:7">
      <c r="A209" s="157" t="s">
        <v>553</v>
      </c>
      <c r="B209" s="163" t="str">
        <f>'N1 Fitment'!R30</f>
        <v>Opt2</v>
      </c>
      <c r="C209" s="157" t="s">
        <v>238</v>
      </c>
      <c r="G209" s="157" t="str">
        <f t="shared" si="7"/>
        <v/>
      </c>
    </row>
    <row r="210" spans="1:7">
      <c r="A210" s="157" t="s">
        <v>554</v>
      </c>
      <c r="B210" s="163" t="str">
        <f>'N1 Fitment'!R31</f>
        <v>N/A</v>
      </c>
      <c r="C210" s="157" t="s">
        <v>238</v>
      </c>
      <c r="G210" s="157" t="str">
        <f t="shared" si="7"/>
        <v/>
      </c>
    </row>
    <row r="211" spans="1:7">
      <c r="A211" s="157" t="s">
        <v>319</v>
      </c>
      <c r="B211" s="163" t="str">
        <f>'N1 Fitment'!R32</f>
        <v>Opt2</v>
      </c>
      <c r="C211" s="157" t="s">
        <v>238</v>
      </c>
      <c r="G211" s="157" t="str">
        <f t="shared" si="7"/>
        <v/>
      </c>
    </row>
    <row r="212" spans="1:7">
      <c r="A212" s="157" t="s">
        <v>555</v>
      </c>
      <c r="B212" s="163" t="str">
        <f>'N1 Fitment'!R33</f>
        <v>N/A</v>
      </c>
      <c r="C212" s="157" t="s">
        <v>238</v>
      </c>
      <c r="G212" s="157" t="str">
        <f t="shared" si="7"/>
        <v/>
      </c>
    </row>
    <row r="213" spans="1:7">
      <c r="A213" s="157" t="s">
        <v>556</v>
      </c>
      <c r="B213" s="163" t="str">
        <f>'N1 Fitment'!R34</f>
        <v>N/A</v>
      </c>
      <c r="C213" s="157" t="s">
        <v>238</v>
      </c>
      <c r="G213" s="157" t="str">
        <f t="shared" si="7"/>
        <v/>
      </c>
    </row>
    <row r="214" spans="1:7">
      <c r="A214" s="157" t="s">
        <v>557</v>
      </c>
      <c r="B214" s="163" t="str">
        <f>'N1 Fitment'!S6</f>
        <v>Opt2</v>
      </c>
      <c r="C214" s="157" t="s">
        <v>238</v>
      </c>
      <c r="G214" s="157" t="str">
        <f t="shared" si="7"/>
        <v/>
      </c>
    </row>
    <row r="215" spans="1:7">
      <c r="A215" s="157" t="s">
        <v>558</v>
      </c>
      <c r="B215" s="163" t="str">
        <f>'N1 Fitment'!S7</f>
        <v>Opt2</v>
      </c>
      <c r="C215" s="157" t="s">
        <v>238</v>
      </c>
      <c r="G215" s="157" t="str">
        <f t="shared" si="7"/>
        <v/>
      </c>
    </row>
    <row r="216" spans="1:7">
      <c r="A216" s="157" t="s">
        <v>559</v>
      </c>
      <c r="B216" s="163" t="str">
        <f>'N1 Fitment'!S8</f>
        <v>N/A</v>
      </c>
      <c r="C216" s="157" t="s">
        <v>238</v>
      </c>
      <c r="G216" s="157" t="str">
        <f t="shared" si="7"/>
        <v/>
      </c>
    </row>
    <row r="217" spans="1:7">
      <c r="A217" s="157" t="s">
        <v>560</v>
      </c>
      <c r="B217" s="163" t="str">
        <f>'N1 Fitment'!S9</f>
        <v>Opt2</v>
      </c>
      <c r="C217" s="157" t="s">
        <v>238</v>
      </c>
      <c r="G217" s="157" t="str">
        <f t="shared" si="7"/>
        <v/>
      </c>
    </row>
    <row r="218" spans="1:7">
      <c r="A218" s="157" t="s">
        <v>561</v>
      </c>
      <c r="B218" s="163" t="str">
        <f>'N1 Fitment'!S10</f>
        <v>N/A</v>
      </c>
      <c r="C218" s="157" t="s">
        <v>238</v>
      </c>
      <c r="G218" s="157" t="str">
        <f t="shared" si="7"/>
        <v/>
      </c>
    </row>
    <row r="219" spans="1:7">
      <c r="A219" s="157" t="s">
        <v>562</v>
      </c>
      <c r="B219" s="163" t="str">
        <f>'N1 Fitment'!S11</f>
        <v>Opt2</v>
      </c>
      <c r="C219" s="157" t="s">
        <v>238</v>
      </c>
      <c r="G219" s="157" t="str">
        <f t="shared" si="7"/>
        <v/>
      </c>
    </row>
    <row r="220" spans="1:7">
      <c r="A220" s="157" t="s">
        <v>563</v>
      </c>
      <c r="B220" s="163" t="str">
        <f>'N1 Fitment'!S12</f>
        <v>Opt2</v>
      </c>
      <c r="C220" s="157" t="s">
        <v>238</v>
      </c>
      <c r="G220" s="157" t="str">
        <f t="shared" si="7"/>
        <v/>
      </c>
    </row>
    <row r="221" spans="1:7">
      <c r="A221" s="157" t="s">
        <v>564</v>
      </c>
      <c r="B221" s="163" t="str">
        <f>'N1 Fitment'!S13</f>
        <v>Opt2</v>
      </c>
      <c r="C221" s="157" t="s">
        <v>238</v>
      </c>
      <c r="G221" s="157" t="str">
        <f t="shared" si="7"/>
        <v/>
      </c>
    </row>
    <row r="222" spans="1:7">
      <c r="A222" s="157" t="s">
        <v>565</v>
      </c>
      <c r="B222" s="163" t="str">
        <f>'N1 Fitment'!S14</f>
        <v>Opt2</v>
      </c>
      <c r="C222" s="157" t="s">
        <v>238</v>
      </c>
      <c r="G222" s="157" t="str">
        <f t="shared" si="7"/>
        <v/>
      </c>
    </row>
    <row r="223" spans="1:7">
      <c r="A223" s="157" t="s">
        <v>321</v>
      </c>
      <c r="B223" s="163" t="str">
        <f>'N1 Fitment'!S15</f>
        <v>Opt2</v>
      </c>
      <c r="C223" s="157" t="s">
        <v>238</v>
      </c>
      <c r="G223" s="157" t="str">
        <f t="shared" si="7"/>
        <v/>
      </c>
    </row>
    <row r="224" spans="1:7">
      <c r="A224" s="157" t="s">
        <v>322</v>
      </c>
      <c r="B224" s="163" t="str">
        <f>'N1 Fitment'!S16</f>
        <v>Opt2</v>
      </c>
      <c r="C224" s="157" t="s">
        <v>238</v>
      </c>
      <c r="G224" s="157" t="str">
        <f t="shared" si="7"/>
        <v/>
      </c>
    </row>
    <row r="225" spans="1:7">
      <c r="A225" s="157" t="s">
        <v>566</v>
      </c>
      <c r="B225" s="163" t="str">
        <f>'N1 Fitment'!S17</f>
        <v>N/A</v>
      </c>
      <c r="C225" s="157" t="s">
        <v>238</v>
      </c>
      <c r="G225" s="157" t="str">
        <f t="shared" si="7"/>
        <v/>
      </c>
    </row>
    <row r="226" spans="1:7">
      <c r="A226" s="157" t="s">
        <v>567</v>
      </c>
      <c r="B226" s="163" t="str">
        <f>'N1 Fitment'!S18</f>
        <v>Opt2</v>
      </c>
      <c r="C226" s="157" t="s">
        <v>238</v>
      </c>
      <c r="G226" s="157" t="str">
        <f t="shared" si="7"/>
        <v/>
      </c>
    </row>
    <row r="227" spans="1:7">
      <c r="A227" s="157" t="s">
        <v>568</v>
      </c>
      <c r="B227" s="163" t="str">
        <f>'N1 Fitment'!S19</f>
        <v>N/A</v>
      </c>
      <c r="C227" s="157" t="s">
        <v>238</v>
      </c>
      <c r="G227" s="157" t="str">
        <f t="shared" si="7"/>
        <v/>
      </c>
    </row>
    <row r="228" spans="1:7">
      <c r="A228" s="157" t="s">
        <v>323</v>
      </c>
      <c r="B228" s="163" t="str">
        <f>'N1 Fitment'!S20</f>
        <v>Opt2</v>
      </c>
      <c r="C228" s="157" t="s">
        <v>238</v>
      </c>
      <c r="G228" s="157" t="str">
        <f t="shared" si="7"/>
        <v/>
      </c>
    </row>
    <row r="229" spans="1:7">
      <c r="A229" s="157" t="s">
        <v>569</v>
      </c>
      <c r="B229" s="163" t="str">
        <f>'N1 Fitment'!S21</f>
        <v>Opt2</v>
      </c>
      <c r="C229" s="157" t="s">
        <v>238</v>
      </c>
      <c r="G229" s="157" t="str">
        <f t="shared" si="7"/>
        <v/>
      </c>
    </row>
    <row r="230" spans="1:7">
      <c r="A230" s="157" t="s">
        <v>570</v>
      </c>
      <c r="B230" s="163" t="str">
        <f>'N1 Fitment'!S22</f>
        <v>Opt2</v>
      </c>
      <c r="C230" s="157" t="s">
        <v>238</v>
      </c>
      <c r="G230" s="157" t="str">
        <f t="shared" si="7"/>
        <v/>
      </c>
    </row>
    <row r="231" spans="1:7">
      <c r="A231" s="157" t="s">
        <v>324</v>
      </c>
      <c r="B231" s="163" t="str">
        <f>'N1 Fitment'!S23</f>
        <v>Opt2</v>
      </c>
      <c r="C231" s="157" t="s">
        <v>238</v>
      </c>
      <c r="G231" s="157" t="str">
        <f t="shared" si="7"/>
        <v/>
      </c>
    </row>
    <row r="232" spans="1:7">
      <c r="A232" s="157" t="s">
        <v>571</v>
      </c>
      <c r="B232" s="163" t="str">
        <f>'N1 Fitment'!S24</f>
        <v>N/A</v>
      </c>
      <c r="C232" s="157" t="s">
        <v>238</v>
      </c>
      <c r="G232" s="157" t="str">
        <f t="shared" si="7"/>
        <v/>
      </c>
    </row>
    <row r="233" spans="1:7">
      <c r="A233" s="157" t="s">
        <v>326</v>
      </c>
      <c r="B233" s="163" t="str">
        <f>'N1 Fitment'!S25</f>
        <v>N/A</v>
      </c>
      <c r="C233" s="157" t="s">
        <v>238</v>
      </c>
      <c r="G233" s="157" t="str">
        <f t="shared" si="7"/>
        <v/>
      </c>
    </row>
    <row r="234" spans="1:7">
      <c r="A234" s="157" t="s">
        <v>572</v>
      </c>
      <c r="B234" s="163" t="str">
        <f>'N1 Fitment'!S27</f>
        <v>Opt2</v>
      </c>
      <c r="C234" s="157" t="s">
        <v>238</v>
      </c>
      <c r="G234" s="157" t="str">
        <f t="shared" si="7"/>
        <v/>
      </c>
    </row>
    <row r="235" spans="1:7">
      <c r="A235" s="157" t="s">
        <v>573</v>
      </c>
      <c r="B235" s="163" t="str">
        <f>'N1 Fitment'!S28</f>
        <v>Opt2</v>
      </c>
      <c r="C235" s="157" t="s">
        <v>238</v>
      </c>
      <c r="G235" s="157" t="str">
        <f t="shared" si="7"/>
        <v/>
      </c>
    </row>
    <row r="236" spans="1:7">
      <c r="A236" s="157" t="s">
        <v>574</v>
      </c>
      <c r="B236" s="163" t="str">
        <f>'N1 Fitment'!S29</f>
        <v>Opt2</v>
      </c>
      <c r="C236" s="157" t="s">
        <v>238</v>
      </c>
      <c r="G236" s="157" t="str">
        <f t="shared" si="7"/>
        <v/>
      </c>
    </row>
    <row r="237" spans="1:7">
      <c r="A237" s="157" t="s">
        <v>575</v>
      </c>
      <c r="B237" s="163" t="str">
        <f>'N1 Fitment'!S30</f>
        <v>Opt2</v>
      </c>
      <c r="C237" s="157" t="s">
        <v>238</v>
      </c>
      <c r="G237" s="157" t="str">
        <f t="shared" si="7"/>
        <v/>
      </c>
    </row>
    <row r="238" spans="1:7">
      <c r="A238" s="157" t="s">
        <v>576</v>
      </c>
      <c r="B238" s="163" t="str">
        <f>'N1 Fitment'!S31</f>
        <v>N/A</v>
      </c>
      <c r="C238" s="157" t="s">
        <v>238</v>
      </c>
      <c r="G238" s="157" t="str">
        <f t="shared" si="7"/>
        <v/>
      </c>
    </row>
    <row r="239" spans="1:7">
      <c r="A239" s="157" t="s">
        <v>325</v>
      </c>
      <c r="B239" s="163" t="str">
        <f>'N1 Fitment'!S32</f>
        <v>Opt2</v>
      </c>
      <c r="C239" s="157" t="s">
        <v>238</v>
      </c>
      <c r="G239" s="157" t="str">
        <f t="shared" si="7"/>
        <v/>
      </c>
    </row>
    <row r="240" spans="1:7">
      <c r="A240" s="157" t="s">
        <v>577</v>
      </c>
      <c r="B240" s="163" t="str">
        <f>'N1 Fitment'!S33</f>
        <v>N/A</v>
      </c>
      <c r="C240" s="157" t="s">
        <v>238</v>
      </c>
      <c r="G240" s="157" t="str">
        <f t="shared" si="7"/>
        <v/>
      </c>
    </row>
    <row r="241" spans="1:7">
      <c r="A241" s="157" t="s">
        <v>578</v>
      </c>
      <c r="B241" s="163" t="str">
        <f>'N1 Fitment'!S34</f>
        <v>N/A</v>
      </c>
      <c r="C241" s="157" t="s">
        <v>238</v>
      </c>
      <c r="G241" s="157" t="str">
        <f t="shared" si="7"/>
        <v/>
      </c>
    </row>
    <row r="242" spans="1:7">
      <c r="A242" s="157" t="s">
        <v>579</v>
      </c>
      <c r="B242" s="163" t="str">
        <f>'N1 Fitment'!Z6</f>
        <v>Opt2</v>
      </c>
      <c r="C242" s="157" t="s">
        <v>238</v>
      </c>
      <c r="G242" s="157" t="str">
        <f t="shared" si="7"/>
        <v/>
      </c>
    </row>
    <row r="243" spans="1:7">
      <c r="A243" s="157" t="s">
        <v>580</v>
      </c>
      <c r="B243" s="163" t="str">
        <f>'N1 Fitment'!Z7</f>
        <v>Opt2</v>
      </c>
      <c r="C243" s="157" t="s">
        <v>238</v>
      </c>
      <c r="G243" s="157" t="str">
        <f t="shared" si="7"/>
        <v/>
      </c>
    </row>
    <row r="244" spans="1:7">
      <c r="A244" s="157" t="s">
        <v>581</v>
      </c>
      <c r="B244" s="163" t="str">
        <f>'N1 Fitment'!Z8</f>
        <v>N/A</v>
      </c>
      <c r="C244" s="157" t="s">
        <v>238</v>
      </c>
      <c r="G244" s="157" t="str">
        <f t="shared" si="7"/>
        <v/>
      </c>
    </row>
    <row r="245" spans="1:7">
      <c r="A245" s="157" t="s">
        <v>582</v>
      </c>
      <c r="B245" s="163" t="str">
        <f>'N1 Fitment'!Z9</f>
        <v>Opt2</v>
      </c>
      <c r="C245" s="157" t="s">
        <v>238</v>
      </c>
      <c r="G245" s="157" t="str">
        <f t="shared" si="7"/>
        <v/>
      </c>
    </row>
    <row r="246" spans="1:7">
      <c r="A246" s="157" t="s">
        <v>583</v>
      </c>
      <c r="B246" s="163" t="str">
        <f>'N1 Fitment'!Z10</f>
        <v>N/A</v>
      </c>
      <c r="C246" s="157" t="s">
        <v>238</v>
      </c>
      <c r="G246" s="157" t="str">
        <f t="shared" si="7"/>
        <v/>
      </c>
    </row>
    <row r="247" spans="1:7">
      <c r="A247" s="157" t="s">
        <v>584</v>
      </c>
      <c r="B247" s="163" t="str">
        <f>'N1 Fitment'!Z11</f>
        <v>Opt2</v>
      </c>
      <c r="C247" s="157" t="s">
        <v>238</v>
      </c>
      <c r="G247" s="157" t="str">
        <f t="shared" si="7"/>
        <v/>
      </c>
    </row>
    <row r="248" spans="1:7">
      <c r="A248" s="157" t="s">
        <v>585</v>
      </c>
      <c r="B248" s="163" t="str">
        <f>'N1 Fitment'!Z12</f>
        <v>Opt2</v>
      </c>
      <c r="C248" s="157" t="s">
        <v>238</v>
      </c>
      <c r="G248" s="157" t="str">
        <f t="shared" si="7"/>
        <v/>
      </c>
    </row>
    <row r="249" spans="1:7">
      <c r="A249" s="157" t="s">
        <v>586</v>
      </c>
      <c r="B249" s="163" t="str">
        <f>'N1 Fitment'!Z13</f>
        <v>Opt2</v>
      </c>
      <c r="C249" s="157" t="s">
        <v>238</v>
      </c>
      <c r="G249" s="157" t="str">
        <f t="shared" si="7"/>
        <v/>
      </c>
    </row>
    <row r="250" spans="1:7">
      <c r="A250" s="157" t="s">
        <v>587</v>
      </c>
      <c r="B250" s="163" t="str">
        <f>'N1 Fitment'!Z14</f>
        <v>Opt2</v>
      </c>
      <c r="C250" s="157" t="s">
        <v>238</v>
      </c>
      <c r="G250" s="157" t="str">
        <f t="shared" si="7"/>
        <v/>
      </c>
    </row>
    <row r="251" spans="1:7">
      <c r="A251" s="157" t="s">
        <v>327</v>
      </c>
      <c r="B251" s="163" t="str">
        <f>'N1 Fitment'!Z15</f>
        <v>N/A</v>
      </c>
      <c r="C251" s="157" t="s">
        <v>238</v>
      </c>
      <c r="G251" s="157" t="str">
        <f t="shared" si="7"/>
        <v/>
      </c>
    </row>
    <row r="252" spans="1:7">
      <c r="A252" s="157" t="s">
        <v>328</v>
      </c>
      <c r="B252" s="163" t="str">
        <f>'N1 Fitment'!Z16</f>
        <v>N/A</v>
      </c>
      <c r="C252" s="157" t="s">
        <v>238</v>
      </c>
      <c r="G252" s="157" t="str">
        <f t="shared" si="7"/>
        <v/>
      </c>
    </row>
    <row r="253" spans="1:7">
      <c r="A253" s="157" t="s">
        <v>588</v>
      </c>
      <c r="B253" s="163" t="str">
        <f>'N1 Fitment'!Z17</f>
        <v>N/A</v>
      </c>
      <c r="C253" s="157" t="s">
        <v>238</v>
      </c>
      <c r="G253" s="157" t="str">
        <f t="shared" si="7"/>
        <v/>
      </c>
    </row>
    <row r="254" spans="1:7">
      <c r="A254" s="157" t="s">
        <v>589</v>
      </c>
      <c r="B254" s="163" t="str">
        <f>'N1 Fitment'!Z18</f>
        <v>Opt2</v>
      </c>
      <c r="C254" s="157" t="s">
        <v>238</v>
      </c>
      <c r="G254" s="157" t="str">
        <f t="shared" si="7"/>
        <v/>
      </c>
    </row>
    <row r="255" spans="1:7">
      <c r="A255" s="157" t="s">
        <v>590</v>
      </c>
      <c r="B255" s="163" t="str">
        <f>'N1 Fitment'!Z19</f>
        <v>N/A</v>
      </c>
      <c r="C255" s="157" t="s">
        <v>238</v>
      </c>
      <c r="G255" s="157" t="str">
        <f t="shared" si="7"/>
        <v/>
      </c>
    </row>
    <row r="256" spans="1:7">
      <c r="A256" s="157" t="s">
        <v>329</v>
      </c>
      <c r="B256" s="163" t="str">
        <f>'N1 Fitment'!Z20</f>
        <v>Opt2</v>
      </c>
      <c r="C256" s="157" t="s">
        <v>238</v>
      </c>
      <c r="G256" s="157" t="str">
        <f t="shared" si="7"/>
        <v/>
      </c>
    </row>
    <row r="257" spans="1:7">
      <c r="A257" s="157" t="s">
        <v>591</v>
      </c>
      <c r="B257" s="163" t="str">
        <f>'N1 Fitment'!Z21</f>
        <v>Opt2</v>
      </c>
      <c r="C257" s="157" t="s">
        <v>238</v>
      </c>
      <c r="G257" s="157" t="str">
        <f t="shared" si="7"/>
        <v/>
      </c>
    </row>
    <row r="258" spans="1:7">
      <c r="A258" s="157" t="s">
        <v>592</v>
      </c>
      <c r="B258" s="163" t="str">
        <f>'N1 Fitment'!Z22</f>
        <v>Opt2</v>
      </c>
      <c r="C258" s="157" t="s">
        <v>238</v>
      </c>
      <c r="G258" s="157" t="str">
        <f t="shared" si="7"/>
        <v/>
      </c>
    </row>
    <row r="259" spans="1:7">
      <c r="A259" s="157" t="s">
        <v>330</v>
      </c>
      <c r="B259" s="163" t="str">
        <f>'N1 Fitment'!Z23</f>
        <v>Opt2</v>
      </c>
      <c r="C259" s="157" t="s">
        <v>238</v>
      </c>
      <c r="G259" s="157" t="str">
        <f t="shared" si="7"/>
        <v/>
      </c>
    </row>
    <row r="260" spans="1:7">
      <c r="A260" s="157" t="s">
        <v>593</v>
      </c>
      <c r="B260" s="163" t="str">
        <f>'N1 Fitment'!Z24</f>
        <v>N/A</v>
      </c>
      <c r="C260" s="157" t="s">
        <v>238</v>
      </c>
      <c r="G260" s="157" t="str">
        <f t="shared" si="7"/>
        <v/>
      </c>
    </row>
    <row r="261" spans="1:7">
      <c r="A261" s="157" t="s">
        <v>332</v>
      </c>
      <c r="B261" s="163" t="str">
        <f>'N1 Fitment'!Z25</f>
        <v>N/A</v>
      </c>
      <c r="C261" s="157" t="s">
        <v>238</v>
      </c>
      <c r="G261" s="157" t="str">
        <f t="shared" si="7"/>
        <v/>
      </c>
    </row>
    <row r="262" spans="1:7">
      <c r="A262" s="157" t="s">
        <v>594</v>
      </c>
      <c r="B262" s="163" t="str">
        <f>'N1 Fitment'!Z27</f>
        <v>Opt2</v>
      </c>
      <c r="C262" s="157" t="s">
        <v>238</v>
      </c>
      <c r="G262" s="157" t="str">
        <f t="shared" ref="G262:G325" si="8">IF(OR(B262=0,B262=" ",B262=""),0,"")</f>
        <v/>
      </c>
    </row>
    <row r="263" spans="1:7">
      <c r="A263" s="157" t="s">
        <v>595</v>
      </c>
      <c r="B263" s="163" t="str">
        <f>'N1 Fitment'!Z28</f>
        <v>Opt2</v>
      </c>
      <c r="C263" s="157" t="s">
        <v>238</v>
      </c>
      <c r="G263" s="157" t="str">
        <f t="shared" si="8"/>
        <v/>
      </c>
    </row>
    <row r="264" spans="1:7">
      <c r="A264" s="157" t="s">
        <v>596</v>
      </c>
      <c r="B264" s="163" t="str">
        <f>'N1 Fitment'!Z29</f>
        <v>Opt2</v>
      </c>
      <c r="C264" s="157" t="s">
        <v>238</v>
      </c>
      <c r="G264" s="157" t="str">
        <f t="shared" si="8"/>
        <v/>
      </c>
    </row>
    <row r="265" spans="1:7">
      <c r="A265" s="157" t="s">
        <v>597</v>
      </c>
      <c r="B265" s="163" t="str">
        <f>'N1 Fitment'!Z30</f>
        <v>Opt2</v>
      </c>
      <c r="C265" s="157" t="s">
        <v>238</v>
      </c>
      <c r="G265" s="157" t="str">
        <f t="shared" si="8"/>
        <v/>
      </c>
    </row>
    <row r="266" spans="1:7">
      <c r="A266" s="157" t="s">
        <v>598</v>
      </c>
      <c r="B266" s="163" t="str">
        <f>'N1 Fitment'!Z31</f>
        <v>N/A</v>
      </c>
      <c r="C266" s="157" t="s">
        <v>238</v>
      </c>
      <c r="G266" s="157" t="str">
        <f t="shared" si="8"/>
        <v/>
      </c>
    </row>
    <row r="267" spans="1:7">
      <c r="A267" s="157" t="s">
        <v>331</v>
      </c>
      <c r="B267" s="163" t="str">
        <f>'N1 Fitment'!Z32</f>
        <v>Opt2</v>
      </c>
      <c r="C267" s="157" t="s">
        <v>238</v>
      </c>
      <c r="G267" s="157" t="str">
        <f t="shared" si="8"/>
        <v/>
      </c>
    </row>
    <row r="268" spans="1:7">
      <c r="A268" s="157" t="s">
        <v>599</v>
      </c>
      <c r="B268" s="163" t="str">
        <f>'N1 Fitment'!Z33</f>
        <v>N/A</v>
      </c>
      <c r="C268" s="157" t="s">
        <v>238</v>
      </c>
      <c r="G268" s="157" t="str">
        <f t="shared" si="8"/>
        <v/>
      </c>
    </row>
    <row r="269" spans="1:7">
      <c r="A269" s="157" t="s">
        <v>600</v>
      </c>
      <c r="B269" s="163" t="str">
        <f>'N1 Fitment'!Z34</f>
        <v>N/A</v>
      </c>
      <c r="C269" s="157" t="s">
        <v>238</v>
      </c>
      <c r="G269" s="157" t="str">
        <f t="shared" si="8"/>
        <v/>
      </c>
    </row>
    <row r="270" spans="1:7">
      <c r="A270" s="157" t="s">
        <v>601</v>
      </c>
      <c r="B270" s="163" t="str">
        <f>'N1 Fitment'!Y6</f>
        <v>Std</v>
      </c>
      <c r="C270" s="157" t="s">
        <v>238</v>
      </c>
      <c r="G270" s="157" t="str">
        <f t="shared" si="8"/>
        <v/>
      </c>
    </row>
    <row r="271" spans="1:7">
      <c r="A271" s="157" t="s">
        <v>602</v>
      </c>
      <c r="B271" s="163" t="str">
        <f>'N1 Fitment'!Y7</f>
        <v>Std</v>
      </c>
      <c r="C271" s="157" t="s">
        <v>238</v>
      </c>
      <c r="G271" s="157" t="str">
        <f t="shared" si="8"/>
        <v/>
      </c>
    </row>
    <row r="272" spans="1:7">
      <c r="A272" s="157" t="s">
        <v>603</v>
      </c>
      <c r="B272" s="163" t="str">
        <f>'N1 Fitment'!Y8</f>
        <v>Std</v>
      </c>
      <c r="C272" s="157" t="s">
        <v>238</v>
      </c>
      <c r="G272" s="157" t="str">
        <f t="shared" si="8"/>
        <v/>
      </c>
    </row>
    <row r="273" spans="1:7">
      <c r="A273" s="157" t="s">
        <v>604</v>
      </c>
      <c r="B273" s="163" t="str">
        <f>'N1 Fitment'!Y9</f>
        <v>Std</v>
      </c>
      <c r="C273" s="157" t="s">
        <v>238</v>
      </c>
      <c r="G273" s="157" t="str">
        <f t="shared" si="8"/>
        <v/>
      </c>
    </row>
    <row r="274" spans="1:7">
      <c r="A274" s="157" t="s">
        <v>605</v>
      </c>
      <c r="B274" s="163" t="str">
        <f>'N1 Fitment'!Y10</f>
        <v>Std</v>
      </c>
      <c r="C274" s="157" t="s">
        <v>238</v>
      </c>
      <c r="G274" s="157" t="str">
        <f t="shared" si="8"/>
        <v/>
      </c>
    </row>
    <row r="275" spans="1:7">
      <c r="A275" s="157" t="s">
        <v>606</v>
      </c>
      <c r="B275" s="163" t="str">
        <f>'N1 Fitment'!Y11</f>
        <v>Std</v>
      </c>
      <c r="C275" s="157" t="s">
        <v>238</v>
      </c>
      <c r="G275" s="157" t="str">
        <f t="shared" si="8"/>
        <v/>
      </c>
    </row>
    <row r="276" spans="1:7">
      <c r="A276" s="157" t="s">
        <v>607</v>
      </c>
      <c r="B276" s="163" t="str">
        <f>'N1 Fitment'!Y12</f>
        <v>Std</v>
      </c>
      <c r="C276" s="157" t="s">
        <v>238</v>
      </c>
      <c r="G276" s="157" t="str">
        <f t="shared" si="8"/>
        <v/>
      </c>
    </row>
    <row r="277" spans="1:7">
      <c r="A277" s="157" t="s">
        <v>608</v>
      </c>
      <c r="B277" s="163" t="str">
        <f>'N1 Fitment'!Y13</f>
        <v>Std</v>
      </c>
      <c r="C277" s="157" t="s">
        <v>238</v>
      </c>
      <c r="G277" s="157" t="str">
        <f t="shared" si="8"/>
        <v/>
      </c>
    </row>
    <row r="278" spans="1:7">
      <c r="A278" s="157" t="s">
        <v>609</v>
      </c>
      <c r="B278" s="163" t="str">
        <f>'N1 Fitment'!Y14</f>
        <v>Std</v>
      </c>
      <c r="C278" s="157" t="s">
        <v>238</v>
      </c>
      <c r="G278" s="157" t="str">
        <f t="shared" si="8"/>
        <v/>
      </c>
    </row>
    <row r="279" spans="1:7">
      <c r="A279" s="157" t="s">
        <v>333</v>
      </c>
      <c r="B279" s="163" t="str">
        <f>'N1 Fitment'!Y15</f>
        <v>Std</v>
      </c>
      <c r="C279" s="157" t="s">
        <v>238</v>
      </c>
      <c r="G279" s="157" t="str">
        <f t="shared" si="8"/>
        <v/>
      </c>
    </row>
    <row r="280" spans="1:7">
      <c r="A280" s="157" t="s">
        <v>334</v>
      </c>
      <c r="B280" s="163" t="str">
        <f>'N1 Fitment'!Y16</f>
        <v>Std</v>
      </c>
      <c r="C280" s="157" t="s">
        <v>238</v>
      </c>
      <c r="G280" s="157" t="str">
        <f t="shared" si="8"/>
        <v/>
      </c>
    </row>
    <row r="281" spans="1:7">
      <c r="A281" s="157" t="s">
        <v>610</v>
      </c>
      <c r="B281" s="163" t="str">
        <f>'N1 Fitment'!Y17</f>
        <v>Std</v>
      </c>
      <c r="C281" s="157" t="s">
        <v>238</v>
      </c>
      <c r="G281" s="157" t="str">
        <f t="shared" si="8"/>
        <v/>
      </c>
    </row>
    <row r="282" spans="1:7">
      <c r="A282" s="157" t="s">
        <v>611</v>
      </c>
      <c r="B282" s="163" t="str">
        <f>'N1 Fitment'!Y18</f>
        <v>Std</v>
      </c>
      <c r="C282" s="157" t="s">
        <v>238</v>
      </c>
      <c r="G282" s="157" t="str">
        <f t="shared" si="8"/>
        <v/>
      </c>
    </row>
    <row r="283" spans="1:7">
      <c r="A283" s="157" t="s">
        <v>612</v>
      </c>
      <c r="B283" s="163" t="str">
        <f>'N1 Fitment'!Y19</f>
        <v>Std</v>
      </c>
      <c r="C283" s="157" t="s">
        <v>238</v>
      </c>
      <c r="G283" s="157" t="str">
        <f t="shared" si="8"/>
        <v/>
      </c>
    </row>
    <row r="284" spans="1:7">
      <c r="A284" s="157" t="s">
        <v>335</v>
      </c>
      <c r="B284" s="163" t="str">
        <f>'N1 Fitment'!Y20</f>
        <v>Std</v>
      </c>
      <c r="C284" s="157" t="s">
        <v>238</v>
      </c>
      <c r="G284" s="157" t="str">
        <f t="shared" si="8"/>
        <v/>
      </c>
    </row>
    <row r="285" spans="1:7">
      <c r="A285" s="157" t="s">
        <v>613</v>
      </c>
      <c r="B285" s="163" t="str">
        <f>'N1 Fitment'!Y21</f>
        <v>Std</v>
      </c>
      <c r="C285" s="157" t="s">
        <v>238</v>
      </c>
      <c r="G285" s="157" t="str">
        <f t="shared" si="8"/>
        <v/>
      </c>
    </row>
    <row r="286" spans="1:7">
      <c r="A286" s="157" t="s">
        <v>614</v>
      </c>
      <c r="B286" s="163" t="str">
        <f>'N1 Fitment'!Y22</f>
        <v>Std</v>
      </c>
      <c r="C286" s="157" t="s">
        <v>238</v>
      </c>
      <c r="G286" s="157" t="str">
        <f t="shared" si="8"/>
        <v/>
      </c>
    </row>
    <row r="287" spans="1:7">
      <c r="A287" s="157" t="s">
        <v>336</v>
      </c>
      <c r="B287" s="163" t="str">
        <f>'N1 Fitment'!Y23</f>
        <v>Std</v>
      </c>
      <c r="C287" s="157" t="s">
        <v>238</v>
      </c>
      <c r="G287" s="157" t="str">
        <f t="shared" si="8"/>
        <v/>
      </c>
    </row>
    <row r="288" spans="1:7">
      <c r="A288" s="157" t="s">
        <v>615</v>
      </c>
      <c r="B288" s="163" t="str">
        <f>'N1 Fitment'!Y24</f>
        <v>Std</v>
      </c>
      <c r="C288" s="157" t="s">
        <v>238</v>
      </c>
      <c r="G288" s="157" t="str">
        <f t="shared" si="8"/>
        <v/>
      </c>
    </row>
    <row r="289" spans="1:7">
      <c r="A289" s="157" t="s">
        <v>338</v>
      </c>
      <c r="B289" s="163" t="str">
        <f>'N1 Fitment'!Y25</f>
        <v>Std</v>
      </c>
      <c r="C289" s="157" t="s">
        <v>238</v>
      </c>
      <c r="G289" s="157" t="str">
        <f t="shared" si="8"/>
        <v/>
      </c>
    </row>
    <row r="290" spans="1:7">
      <c r="A290" s="157" t="s">
        <v>616</v>
      </c>
      <c r="B290" s="163" t="str">
        <f>'N1 Fitment'!Y27</f>
        <v>Std</v>
      </c>
      <c r="C290" s="157" t="s">
        <v>238</v>
      </c>
      <c r="G290" s="157" t="str">
        <f t="shared" si="8"/>
        <v/>
      </c>
    </row>
    <row r="291" spans="1:7">
      <c r="A291" s="157" t="s">
        <v>617</v>
      </c>
      <c r="B291" s="163" t="str">
        <f>'N1 Fitment'!Y28</f>
        <v>Std</v>
      </c>
      <c r="C291" s="157" t="s">
        <v>238</v>
      </c>
      <c r="G291" s="157" t="str">
        <f t="shared" si="8"/>
        <v/>
      </c>
    </row>
    <row r="292" spans="1:7">
      <c r="A292" s="157" t="s">
        <v>618</v>
      </c>
      <c r="B292" s="163" t="str">
        <f>'N1 Fitment'!Y29</f>
        <v>Std</v>
      </c>
      <c r="C292" s="157" t="s">
        <v>238</v>
      </c>
      <c r="G292" s="157" t="str">
        <f t="shared" si="8"/>
        <v/>
      </c>
    </row>
    <row r="293" spans="1:7">
      <c r="A293" s="157" t="s">
        <v>619</v>
      </c>
      <c r="B293" s="163" t="str">
        <f>'N1 Fitment'!Y30</f>
        <v>Std</v>
      </c>
      <c r="C293" s="157" t="s">
        <v>238</v>
      </c>
      <c r="G293" s="157" t="str">
        <f t="shared" si="8"/>
        <v/>
      </c>
    </row>
    <row r="294" spans="1:7">
      <c r="A294" s="157" t="s">
        <v>620</v>
      </c>
      <c r="B294" s="163" t="str">
        <f>'N1 Fitment'!Y31</f>
        <v>Std</v>
      </c>
      <c r="C294" s="157" t="s">
        <v>238</v>
      </c>
      <c r="G294" s="157" t="str">
        <f t="shared" si="8"/>
        <v/>
      </c>
    </row>
    <row r="295" spans="1:7">
      <c r="A295" s="157" t="s">
        <v>337</v>
      </c>
      <c r="B295" s="163" t="str">
        <f>'N1 Fitment'!Y32</f>
        <v>Std</v>
      </c>
      <c r="C295" s="157" t="s">
        <v>238</v>
      </c>
      <c r="G295" s="157" t="str">
        <f t="shared" si="8"/>
        <v/>
      </c>
    </row>
    <row r="296" spans="1:7">
      <c r="A296" s="157" t="s">
        <v>621</v>
      </c>
      <c r="B296" s="163" t="str">
        <f>'N1 Fitment'!Y33</f>
        <v>Std</v>
      </c>
      <c r="C296" s="157" t="s">
        <v>238</v>
      </c>
      <c r="G296" s="157" t="str">
        <f t="shared" si="8"/>
        <v/>
      </c>
    </row>
    <row r="297" spans="1:7">
      <c r="A297" s="157" t="s">
        <v>622</v>
      </c>
      <c r="B297" s="163" t="str">
        <f>'N1 Fitment'!Y34</f>
        <v>Std</v>
      </c>
      <c r="C297" s="157" t="s">
        <v>238</v>
      </c>
      <c r="G297" s="157" t="str">
        <f t="shared" si="8"/>
        <v/>
      </c>
    </row>
    <row r="298" spans="1:7">
      <c r="A298" s="157" t="s">
        <v>623</v>
      </c>
      <c r="B298" s="163" t="str">
        <f>'N1 Fitment'!V6</f>
        <v>Std</v>
      </c>
      <c r="C298" s="157" t="s">
        <v>238</v>
      </c>
      <c r="G298" s="157" t="str">
        <f t="shared" si="8"/>
        <v/>
      </c>
    </row>
    <row r="299" spans="1:7">
      <c r="A299" s="157" t="s">
        <v>624</v>
      </c>
      <c r="B299" s="163" t="str">
        <f>'N1 Fitment'!V7</f>
        <v>Std</v>
      </c>
      <c r="C299" s="157" t="s">
        <v>238</v>
      </c>
      <c r="G299" s="157" t="str">
        <f t="shared" si="8"/>
        <v/>
      </c>
    </row>
    <row r="300" spans="1:7">
      <c r="A300" s="157" t="s">
        <v>625</v>
      </c>
      <c r="B300" s="163" t="str">
        <f>'N1 Fitment'!V8</f>
        <v>Std</v>
      </c>
      <c r="C300" s="157" t="s">
        <v>238</v>
      </c>
      <c r="G300" s="157" t="str">
        <f t="shared" si="8"/>
        <v/>
      </c>
    </row>
    <row r="301" spans="1:7">
      <c r="A301" s="157" t="s">
        <v>626</v>
      </c>
      <c r="B301" s="163" t="str">
        <f>'N1 Fitment'!V9</f>
        <v>Std</v>
      </c>
      <c r="C301" s="157" t="s">
        <v>238</v>
      </c>
      <c r="G301" s="157" t="str">
        <f t="shared" si="8"/>
        <v/>
      </c>
    </row>
    <row r="302" spans="1:7">
      <c r="A302" s="157" t="s">
        <v>627</v>
      </c>
      <c r="B302" s="163" t="str">
        <f>'N1 Fitment'!V10</f>
        <v>Std</v>
      </c>
      <c r="C302" s="157" t="s">
        <v>238</v>
      </c>
      <c r="G302" s="157" t="str">
        <f t="shared" si="8"/>
        <v/>
      </c>
    </row>
    <row r="303" spans="1:7">
      <c r="A303" s="157" t="s">
        <v>628</v>
      </c>
      <c r="B303" s="163" t="str">
        <f>'N1 Fitment'!V11</f>
        <v>Std</v>
      </c>
      <c r="C303" s="157" t="s">
        <v>238</v>
      </c>
      <c r="G303" s="157" t="str">
        <f t="shared" si="8"/>
        <v/>
      </c>
    </row>
    <row r="304" spans="1:7">
      <c r="A304" s="157" t="s">
        <v>629</v>
      </c>
      <c r="B304" s="163" t="str">
        <f>'N1 Fitment'!V12</f>
        <v>Std</v>
      </c>
      <c r="C304" s="157" t="s">
        <v>238</v>
      </c>
      <c r="G304" s="157" t="str">
        <f t="shared" si="8"/>
        <v/>
      </c>
    </row>
    <row r="305" spans="1:7">
      <c r="A305" s="157" t="s">
        <v>630</v>
      </c>
      <c r="B305" s="163" t="str">
        <f>'N1 Fitment'!V13</f>
        <v>Std</v>
      </c>
      <c r="C305" s="157" t="s">
        <v>238</v>
      </c>
      <c r="G305" s="157" t="str">
        <f t="shared" si="8"/>
        <v/>
      </c>
    </row>
    <row r="306" spans="1:7">
      <c r="A306" s="157" t="s">
        <v>631</v>
      </c>
      <c r="B306" s="163" t="str">
        <f>'N1 Fitment'!V14</f>
        <v>Std</v>
      </c>
      <c r="C306" s="157" t="s">
        <v>238</v>
      </c>
      <c r="G306" s="157" t="str">
        <f t="shared" si="8"/>
        <v/>
      </c>
    </row>
    <row r="307" spans="1:7">
      <c r="A307" s="157" t="s">
        <v>339</v>
      </c>
      <c r="B307" s="163" t="str">
        <f>'N1 Fitment'!V15</f>
        <v>Std</v>
      </c>
      <c r="C307" s="157" t="s">
        <v>238</v>
      </c>
      <c r="G307" s="157" t="str">
        <f t="shared" si="8"/>
        <v/>
      </c>
    </row>
    <row r="308" spans="1:7">
      <c r="A308" s="157" t="s">
        <v>340</v>
      </c>
      <c r="B308" s="163" t="str">
        <f>'N1 Fitment'!V16</f>
        <v>Std</v>
      </c>
      <c r="C308" s="157" t="s">
        <v>238</v>
      </c>
      <c r="G308" s="157" t="str">
        <f t="shared" si="8"/>
        <v/>
      </c>
    </row>
    <row r="309" spans="1:7">
      <c r="A309" s="157" t="s">
        <v>632</v>
      </c>
      <c r="B309" s="163" t="str">
        <f>'N1 Fitment'!V17</f>
        <v>Std</v>
      </c>
      <c r="C309" s="157" t="s">
        <v>238</v>
      </c>
      <c r="G309" s="157" t="str">
        <f t="shared" si="8"/>
        <v/>
      </c>
    </row>
    <row r="310" spans="1:7">
      <c r="A310" s="157" t="s">
        <v>633</v>
      </c>
      <c r="B310" s="163" t="str">
        <f>'N1 Fitment'!V18</f>
        <v>Std</v>
      </c>
      <c r="C310" s="157" t="s">
        <v>238</v>
      </c>
      <c r="G310" s="157" t="str">
        <f t="shared" si="8"/>
        <v/>
      </c>
    </row>
    <row r="311" spans="1:7">
      <c r="A311" s="157" t="s">
        <v>634</v>
      </c>
      <c r="B311" s="163" t="str">
        <f>'N1 Fitment'!V19</f>
        <v>Std</v>
      </c>
      <c r="C311" s="157" t="s">
        <v>238</v>
      </c>
      <c r="G311" s="157" t="str">
        <f t="shared" si="8"/>
        <v/>
      </c>
    </row>
    <row r="312" spans="1:7">
      <c r="A312" s="157" t="s">
        <v>341</v>
      </c>
      <c r="B312" s="163" t="str">
        <f>'N1 Fitment'!V20</f>
        <v>Std</v>
      </c>
      <c r="C312" s="157" t="s">
        <v>238</v>
      </c>
      <c r="G312" s="157" t="str">
        <f t="shared" si="8"/>
        <v/>
      </c>
    </row>
    <row r="313" spans="1:7">
      <c r="A313" s="157" t="s">
        <v>635</v>
      </c>
      <c r="B313" s="163" t="str">
        <f>'N1 Fitment'!V21</f>
        <v>Std</v>
      </c>
      <c r="C313" s="157" t="s">
        <v>238</v>
      </c>
      <c r="G313" s="157" t="str">
        <f t="shared" si="8"/>
        <v/>
      </c>
    </row>
    <row r="314" spans="1:7">
      <c r="A314" s="157" t="s">
        <v>636</v>
      </c>
      <c r="B314" s="163" t="str">
        <f>'N1 Fitment'!V22</f>
        <v>Std</v>
      </c>
      <c r="C314" s="157" t="s">
        <v>238</v>
      </c>
      <c r="G314" s="157" t="str">
        <f t="shared" si="8"/>
        <v/>
      </c>
    </row>
    <row r="315" spans="1:7">
      <c r="A315" s="157" t="s">
        <v>342</v>
      </c>
      <c r="B315" s="163" t="str">
        <f>'N1 Fitment'!V23</f>
        <v>Std</v>
      </c>
      <c r="C315" s="157" t="s">
        <v>238</v>
      </c>
      <c r="G315" s="157" t="str">
        <f t="shared" si="8"/>
        <v/>
      </c>
    </row>
    <row r="316" spans="1:7">
      <c r="A316" s="157" t="s">
        <v>637</v>
      </c>
      <c r="B316" s="163" t="str">
        <f>'N1 Fitment'!V24</f>
        <v>Std</v>
      </c>
      <c r="C316" s="157" t="s">
        <v>238</v>
      </c>
      <c r="G316" s="157" t="str">
        <f t="shared" si="8"/>
        <v/>
      </c>
    </row>
    <row r="317" spans="1:7">
      <c r="A317" s="157" t="s">
        <v>344</v>
      </c>
      <c r="B317" s="163" t="str">
        <f>'N1 Fitment'!V25</f>
        <v>Std</v>
      </c>
      <c r="C317" s="157" t="s">
        <v>238</v>
      </c>
      <c r="G317" s="157" t="str">
        <f t="shared" si="8"/>
        <v/>
      </c>
    </row>
    <row r="318" spans="1:7">
      <c r="A318" s="157" t="s">
        <v>638</v>
      </c>
      <c r="B318" s="163" t="str">
        <f>'N1 Fitment'!V27</f>
        <v>Std</v>
      </c>
      <c r="C318" s="157" t="s">
        <v>238</v>
      </c>
      <c r="G318" s="157" t="str">
        <f t="shared" si="8"/>
        <v/>
      </c>
    </row>
    <row r="319" spans="1:7">
      <c r="A319" s="157" t="s">
        <v>639</v>
      </c>
      <c r="B319" s="163" t="str">
        <f>'N1 Fitment'!V28</f>
        <v>Std</v>
      </c>
      <c r="C319" s="157" t="s">
        <v>238</v>
      </c>
      <c r="G319" s="157" t="str">
        <f t="shared" si="8"/>
        <v/>
      </c>
    </row>
    <row r="320" spans="1:7">
      <c r="A320" s="157" t="s">
        <v>640</v>
      </c>
      <c r="B320" s="163" t="str">
        <f>'N1 Fitment'!V29</f>
        <v>Std</v>
      </c>
      <c r="C320" s="157" t="s">
        <v>238</v>
      </c>
      <c r="G320" s="157" t="str">
        <f t="shared" si="8"/>
        <v/>
      </c>
    </row>
    <row r="321" spans="1:7">
      <c r="A321" s="157" t="s">
        <v>641</v>
      </c>
      <c r="B321" s="163" t="str">
        <f>'N1 Fitment'!V30</f>
        <v>Std</v>
      </c>
      <c r="C321" s="157" t="s">
        <v>238</v>
      </c>
      <c r="G321" s="157" t="str">
        <f t="shared" si="8"/>
        <v/>
      </c>
    </row>
    <row r="322" spans="1:7">
      <c r="A322" s="157" t="s">
        <v>642</v>
      </c>
      <c r="B322" s="163" t="str">
        <f>'N1 Fitment'!V31</f>
        <v>Std</v>
      </c>
      <c r="C322" s="157" t="s">
        <v>238</v>
      </c>
      <c r="G322" s="157" t="str">
        <f t="shared" si="8"/>
        <v/>
      </c>
    </row>
    <row r="323" spans="1:7">
      <c r="A323" s="157" t="s">
        <v>343</v>
      </c>
      <c r="B323" s="163" t="str">
        <f>'N1 Fitment'!V32</f>
        <v>Std</v>
      </c>
      <c r="C323" s="157" t="s">
        <v>238</v>
      </c>
      <c r="G323" s="157" t="str">
        <f t="shared" si="8"/>
        <v/>
      </c>
    </row>
    <row r="324" spans="1:7">
      <c r="A324" s="157" t="s">
        <v>643</v>
      </c>
      <c r="B324" s="163" t="str">
        <f>'N1 Fitment'!V33</f>
        <v>Std</v>
      </c>
      <c r="C324" s="157" t="s">
        <v>238</v>
      </c>
      <c r="G324" s="157" t="str">
        <f t="shared" si="8"/>
        <v/>
      </c>
    </row>
    <row r="325" spans="1:7">
      <c r="A325" s="157" t="s">
        <v>644</v>
      </c>
      <c r="B325" s="163" t="str">
        <f>'N1 Fitment'!V34</f>
        <v>Std</v>
      </c>
      <c r="C325" s="157" t="s">
        <v>238</v>
      </c>
      <c r="G325" s="157" t="str">
        <f t="shared" si="8"/>
        <v/>
      </c>
    </row>
    <row r="326" spans="1:7">
      <c r="A326" s="157" t="s">
        <v>645</v>
      </c>
      <c r="B326" s="163" t="str">
        <f>'N1 Fitment'!X6</f>
        <v>Std</v>
      </c>
      <c r="C326" s="157" t="s">
        <v>238</v>
      </c>
      <c r="G326" s="157" t="str">
        <f t="shared" ref="G326:G389" si="9">IF(OR(B326=0,B326=" ",B326=""),0,"")</f>
        <v/>
      </c>
    </row>
    <row r="327" spans="1:7">
      <c r="A327" s="157" t="s">
        <v>646</v>
      </c>
      <c r="B327" s="163" t="str">
        <f>'N1 Fitment'!X7</f>
        <v>Std</v>
      </c>
      <c r="C327" s="157" t="s">
        <v>238</v>
      </c>
      <c r="G327" s="157" t="str">
        <f t="shared" si="9"/>
        <v/>
      </c>
    </row>
    <row r="328" spans="1:7">
      <c r="A328" s="157" t="s">
        <v>647</v>
      </c>
      <c r="B328" s="163" t="str">
        <f>'N1 Fitment'!X8</f>
        <v>Std</v>
      </c>
      <c r="C328" s="157" t="s">
        <v>238</v>
      </c>
      <c r="G328" s="157" t="str">
        <f t="shared" si="9"/>
        <v/>
      </c>
    </row>
    <row r="329" spans="1:7">
      <c r="A329" s="157" t="s">
        <v>648</v>
      </c>
      <c r="B329" s="163" t="str">
        <f>'N1 Fitment'!X9</f>
        <v>Std</v>
      </c>
      <c r="C329" s="157" t="s">
        <v>238</v>
      </c>
      <c r="G329" s="157" t="str">
        <f t="shared" si="9"/>
        <v/>
      </c>
    </row>
    <row r="330" spans="1:7">
      <c r="A330" s="157" t="s">
        <v>649</v>
      </c>
      <c r="B330" s="163" t="str">
        <f>'N1 Fitment'!X10</f>
        <v>Std</v>
      </c>
      <c r="C330" s="157" t="s">
        <v>238</v>
      </c>
      <c r="G330" s="157" t="str">
        <f t="shared" si="9"/>
        <v/>
      </c>
    </row>
    <row r="331" spans="1:7">
      <c r="A331" s="157" t="s">
        <v>650</v>
      </c>
      <c r="B331" s="163" t="str">
        <f>'N1 Fitment'!X11</f>
        <v>Std</v>
      </c>
      <c r="C331" s="157" t="s">
        <v>238</v>
      </c>
      <c r="G331" s="157" t="str">
        <f t="shared" si="9"/>
        <v/>
      </c>
    </row>
    <row r="332" spans="1:7">
      <c r="A332" s="157" t="s">
        <v>651</v>
      </c>
      <c r="B332" s="163" t="str">
        <f>'N1 Fitment'!X12</f>
        <v>Std</v>
      </c>
      <c r="C332" s="157" t="s">
        <v>238</v>
      </c>
      <c r="G332" s="157" t="str">
        <f t="shared" si="9"/>
        <v/>
      </c>
    </row>
    <row r="333" spans="1:7">
      <c r="A333" s="157" t="s">
        <v>652</v>
      </c>
      <c r="B333" s="163" t="str">
        <f>'N1 Fitment'!X13</f>
        <v>Std</v>
      </c>
      <c r="C333" s="157" t="s">
        <v>238</v>
      </c>
      <c r="G333" s="157" t="str">
        <f t="shared" si="9"/>
        <v/>
      </c>
    </row>
    <row r="334" spans="1:7">
      <c r="A334" s="157" t="s">
        <v>653</v>
      </c>
      <c r="B334" s="163" t="str">
        <f>'N1 Fitment'!X14</f>
        <v>Std</v>
      </c>
      <c r="C334" s="157" t="s">
        <v>238</v>
      </c>
      <c r="G334" s="157" t="str">
        <f t="shared" si="9"/>
        <v/>
      </c>
    </row>
    <row r="335" spans="1:7">
      <c r="A335" s="157" t="s">
        <v>345</v>
      </c>
      <c r="B335" s="163" t="str">
        <f>'N1 Fitment'!X15</f>
        <v>Std</v>
      </c>
      <c r="C335" s="157" t="s">
        <v>238</v>
      </c>
      <c r="G335" s="157" t="str">
        <f t="shared" si="9"/>
        <v/>
      </c>
    </row>
    <row r="336" spans="1:7">
      <c r="A336" s="157" t="s">
        <v>346</v>
      </c>
      <c r="B336" s="163" t="str">
        <f>'N1 Fitment'!X16</f>
        <v>Std</v>
      </c>
      <c r="C336" s="157" t="s">
        <v>238</v>
      </c>
      <c r="G336" s="157" t="str">
        <f t="shared" si="9"/>
        <v/>
      </c>
    </row>
    <row r="337" spans="1:7">
      <c r="A337" s="157" t="s">
        <v>654</v>
      </c>
      <c r="B337" s="163" t="str">
        <f>'N1 Fitment'!X17</f>
        <v>Std</v>
      </c>
      <c r="C337" s="157" t="s">
        <v>238</v>
      </c>
      <c r="G337" s="157" t="str">
        <f t="shared" si="9"/>
        <v/>
      </c>
    </row>
    <row r="338" spans="1:7">
      <c r="A338" s="157" t="s">
        <v>655</v>
      </c>
      <c r="B338" s="163" t="str">
        <f>'N1 Fitment'!X18</f>
        <v>Std</v>
      </c>
      <c r="C338" s="157" t="s">
        <v>238</v>
      </c>
      <c r="G338" s="157" t="str">
        <f t="shared" si="9"/>
        <v/>
      </c>
    </row>
    <row r="339" spans="1:7">
      <c r="A339" s="157" t="s">
        <v>656</v>
      </c>
      <c r="B339" s="163" t="str">
        <f>'N1 Fitment'!X19</f>
        <v>Std</v>
      </c>
      <c r="C339" s="157" t="s">
        <v>238</v>
      </c>
      <c r="G339" s="157" t="str">
        <f t="shared" si="9"/>
        <v/>
      </c>
    </row>
    <row r="340" spans="1:7">
      <c r="A340" s="157" t="s">
        <v>347</v>
      </c>
      <c r="B340" s="163" t="str">
        <f>'N1 Fitment'!X20</f>
        <v>Std</v>
      </c>
      <c r="C340" s="157" t="s">
        <v>238</v>
      </c>
      <c r="G340" s="157" t="str">
        <f t="shared" si="9"/>
        <v/>
      </c>
    </row>
    <row r="341" spans="1:7">
      <c r="A341" s="157" t="s">
        <v>657</v>
      </c>
      <c r="B341" s="163" t="str">
        <f>'N1 Fitment'!X21</f>
        <v>Std</v>
      </c>
      <c r="C341" s="157" t="s">
        <v>238</v>
      </c>
      <c r="G341" s="157" t="str">
        <f t="shared" si="9"/>
        <v/>
      </c>
    </row>
    <row r="342" spans="1:7">
      <c r="A342" s="157" t="s">
        <v>658</v>
      </c>
      <c r="B342" s="163" t="str">
        <f>'N1 Fitment'!X22</f>
        <v>Std</v>
      </c>
      <c r="C342" s="157" t="s">
        <v>238</v>
      </c>
      <c r="G342" s="157" t="str">
        <f t="shared" si="9"/>
        <v/>
      </c>
    </row>
    <row r="343" spans="1:7">
      <c r="A343" s="157" t="s">
        <v>348</v>
      </c>
      <c r="B343" s="163" t="str">
        <f>'N1 Fitment'!X23</f>
        <v>Std</v>
      </c>
      <c r="C343" s="157" t="s">
        <v>238</v>
      </c>
      <c r="G343" s="157" t="str">
        <f t="shared" si="9"/>
        <v/>
      </c>
    </row>
    <row r="344" spans="1:7">
      <c r="A344" s="157" t="s">
        <v>659</v>
      </c>
      <c r="B344" s="163" t="str">
        <f>'N1 Fitment'!X24</f>
        <v>Std</v>
      </c>
      <c r="C344" s="157" t="s">
        <v>238</v>
      </c>
      <c r="G344" s="157" t="str">
        <f t="shared" si="9"/>
        <v/>
      </c>
    </row>
    <row r="345" spans="1:7">
      <c r="A345" s="157" t="s">
        <v>350</v>
      </c>
      <c r="B345" s="163" t="str">
        <f>'N1 Fitment'!X25</f>
        <v>Std</v>
      </c>
      <c r="C345" s="157" t="s">
        <v>238</v>
      </c>
      <c r="G345" s="157" t="str">
        <f t="shared" si="9"/>
        <v/>
      </c>
    </row>
    <row r="346" spans="1:7">
      <c r="A346" s="157" t="s">
        <v>660</v>
      </c>
      <c r="B346" s="163" t="str">
        <f>'N1 Fitment'!X27</f>
        <v>Std</v>
      </c>
      <c r="C346" s="157" t="s">
        <v>238</v>
      </c>
      <c r="G346" s="157" t="str">
        <f t="shared" si="9"/>
        <v/>
      </c>
    </row>
    <row r="347" spans="1:7">
      <c r="A347" s="157" t="s">
        <v>661</v>
      </c>
      <c r="B347" s="163" t="str">
        <f>'N1 Fitment'!X28</f>
        <v>Std</v>
      </c>
      <c r="C347" s="157" t="s">
        <v>238</v>
      </c>
      <c r="G347" s="157" t="str">
        <f t="shared" si="9"/>
        <v/>
      </c>
    </row>
    <row r="348" spans="1:7">
      <c r="A348" s="157" t="s">
        <v>662</v>
      </c>
      <c r="B348" s="163" t="str">
        <f>'N1 Fitment'!X29</f>
        <v>Std</v>
      </c>
      <c r="C348" s="157" t="s">
        <v>238</v>
      </c>
      <c r="G348" s="157" t="str">
        <f t="shared" si="9"/>
        <v/>
      </c>
    </row>
    <row r="349" spans="1:7">
      <c r="A349" s="157" t="s">
        <v>663</v>
      </c>
      <c r="B349" s="163" t="str">
        <f>'N1 Fitment'!X30</f>
        <v>Std</v>
      </c>
      <c r="C349" s="157" t="s">
        <v>238</v>
      </c>
      <c r="G349" s="157" t="str">
        <f t="shared" si="9"/>
        <v/>
      </c>
    </row>
    <row r="350" spans="1:7">
      <c r="A350" s="157" t="s">
        <v>664</v>
      </c>
      <c r="B350" s="163" t="str">
        <f>'N1 Fitment'!X31</f>
        <v>Std</v>
      </c>
      <c r="C350" s="157" t="s">
        <v>238</v>
      </c>
      <c r="G350" s="157" t="str">
        <f t="shared" si="9"/>
        <v/>
      </c>
    </row>
    <row r="351" spans="1:7">
      <c r="A351" s="157" t="s">
        <v>349</v>
      </c>
      <c r="B351" s="163" t="str">
        <f>'N1 Fitment'!X32</f>
        <v>Std</v>
      </c>
      <c r="C351" s="157" t="s">
        <v>238</v>
      </c>
      <c r="G351" s="157" t="str">
        <f t="shared" si="9"/>
        <v/>
      </c>
    </row>
    <row r="352" spans="1:7">
      <c r="A352" s="157" t="s">
        <v>665</v>
      </c>
      <c r="B352" s="163" t="str">
        <f>'N1 Fitment'!X33</f>
        <v>Std</v>
      </c>
      <c r="C352" s="157" t="s">
        <v>238</v>
      </c>
      <c r="G352" s="157" t="str">
        <f t="shared" si="9"/>
        <v/>
      </c>
    </row>
    <row r="353" spans="1:7">
      <c r="A353" s="157" t="s">
        <v>666</v>
      </c>
      <c r="B353" s="163" t="str">
        <f>'N1 Fitment'!X34</f>
        <v>Std</v>
      </c>
      <c r="C353" s="157" t="s">
        <v>238</v>
      </c>
      <c r="G353" s="157" t="str">
        <f t="shared" si="9"/>
        <v/>
      </c>
    </row>
    <row r="354" spans="1:7">
      <c r="A354" s="157" t="s">
        <v>667</v>
      </c>
      <c r="B354" s="163" t="str">
        <f>'N1 Fitment'!T6</f>
        <v>Opt2</v>
      </c>
      <c r="C354" s="157" t="s">
        <v>238</v>
      </c>
      <c r="G354" s="157" t="str">
        <f t="shared" si="9"/>
        <v/>
      </c>
    </row>
    <row r="355" spans="1:7">
      <c r="A355" s="157" t="s">
        <v>668</v>
      </c>
      <c r="B355" s="163" t="str">
        <f>'N1 Fitment'!T7</f>
        <v>N/A</v>
      </c>
      <c r="C355" s="157" t="s">
        <v>238</v>
      </c>
      <c r="G355" s="157" t="str">
        <f t="shared" si="9"/>
        <v/>
      </c>
    </row>
    <row r="356" spans="1:7">
      <c r="A356" s="157" t="s">
        <v>669</v>
      </c>
      <c r="B356" s="163" t="str">
        <f>'N1 Fitment'!T8</f>
        <v>N/A</v>
      </c>
      <c r="C356" s="157" t="s">
        <v>238</v>
      </c>
      <c r="G356" s="157" t="str">
        <f t="shared" si="9"/>
        <v/>
      </c>
    </row>
    <row r="357" spans="1:7">
      <c r="A357" s="157" t="s">
        <v>670</v>
      </c>
      <c r="B357" s="163" t="str">
        <f>'N1 Fitment'!T9</f>
        <v>Opt2</v>
      </c>
      <c r="C357" s="157" t="s">
        <v>238</v>
      </c>
      <c r="G357" s="157" t="str">
        <f t="shared" si="9"/>
        <v/>
      </c>
    </row>
    <row r="358" spans="1:7">
      <c r="A358" s="157" t="s">
        <v>671</v>
      </c>
      <c r="B358" s="163" t="str">
        <f>'N1 Fitment'!T10</f>
        <v>N/A</v>
      </c>
      <c r="C358" s="157" t="s">
        <v>238</v>
      </c>
      <c r="G358" s="157" t="str">
        <f t="shared" si="9"/>
        <v/>
      </c>
    </row>
    <row r="359" spans="1:7">
      <c r="A359" s="157" t="s">
        <v>672</v>
      </c>
      <c r="B359" s="163" t="str">
        <f>'N1 Fitment'!T11</f>
        <v>Opt2</v>
      </c>
      <c r="C359" s="157" t="s">
        <v>238</v>
      </c>
      <c r="G359" s="157" t="str">
        <f t="shared" si="9"/>
        <v/>
      </c>
    </row>
    <row r="360" spans="1:7">
      <c r="A360" s="157" t="s">
        <v>673</v>
      </c>
      <c r="B360" s="163" t="str">
        <f>'N1 Fitment'!T12</f>
        <v>Opt2</v>
      </c>
      <c r="C360" s="157" t="s">
        <v>238</v>
      </c>
      <c r="G360" s="157" t="str">
        <f t="shared" si="9"/>
        <v/>
      </c>
    </row>
    <row r="361" spans="1:7">
      <c r="A361" s="157" t="s">
        <v>674</v>
      </c>
      <c r="B361" s="163" t="str">
        <f>'N1 Fitment'!T13</f>
        <v>Opt2</v>
      </c>
      <c r="C361" s="157" t="s">
        <v>238</v>
      </c>
      <c r="G361" s="157" t="str">
        <f t="shared" si="9"/>
        <v/>
      </c>
    </row>
    <row r="362" spans="1:7">
      <c r="A362" s="157" t="s">
        <v>675</v>
      </c>
      <c r="B362" s="163" t="str">
        <f>'N1 Fitment'!T14</f>
        <v>Opt2</v>
      </c>
      <c r="C362" s="157" t="s">
        <v>238</v>
      </c>
      <c r="G362" s="157" t="str">
        <f t="shared" si="9"/>
        <v/>
      </c>
    </row>
    <row r="363" spans="1:7">
      <c r="A363" s="157" t="s">
        <v>351</v>
      </c>
      <c r="B363" s="163" t="str">
        <f>'N1 Fitment'!T15</f>
        <v>N/A</v>
      </c>
      <c r="C363" s="157" t="s">
        <v>238</v>
      </c>
      <c r="G363" s="157" t="str">
        <f t="shared" si="9"/>
        <v/>
      </c>
    </row>
    <row r="364" spans="1:7">
      <c r="A364" s="157" t="s">
        <v>352</v>
      </c>
      <c r="B364" s="163" t="str">
        <f>'N1 Fitment'!T16</f>
        <v>N/A</v>
      </c>
      <c r="C364" s="157" t="s">
        <v>238</v>
      </c>
      <c r="G364" s="157" t="str">
        <f t="shared" si="9"/>
        <v/>
      </c>
    </row>
    <row r="365" spans="1:7">
      <c r="A365" s="157" t="s">
        <v>676</v>
      </c>
      <c r="B365" s="163" t="str">
        <f>'N1 Fitment'!T17</f>
        <v>N/A</v>
      </c>
      <c r="C365" s="157" t="s">
        <v>238</v>
      </c>
      <c r="G365" s="157" t="str">
        <f t="shared" si="9"/>
        <v/>
      </c>
    </row>
    <row r="366" spans="1:7">
      <c r="A366" s="157" t="s">
        <v>677</v>
      </c>
      <c r="B366" s="163" t="str">
        <f>'N1 Fitment'!T18</f>
        <v>Opt2</v>
      </c>
      <c r="C366" s="157" t="s">
        <v>238</v>
      </c>
      <c r="G366" s="157" t="str">
        <f t="shared" si="9"/>
        <v/>
      </c>
    </row>
    <row r="367" spans="1:7">
      <c r="A367" s="157" t="s">
        <v>678</v>
      </c>
      <c r="B367" s="163" t="str">
        <f>'N1 Fitment'!T19</f>
        <v>N/A</v>
      </c>
      <c r="C367" s="157" t="s">
        <v>238</v>
      </c>
      <c r="G367" s="157" t="str">
        <f t="shared" si="9"/>
        <v/>
      </c>
    </row>
    <row r="368" spans="1:7">
      <c r="A368" s="157" t="s">
        <v>353</v>
      </c>
      <c r="B368" s="163" t="str">
        <f>'N1 Fitment'!T20</f>
        <v>Opt2</v>
      </c>
      <c r="C368" s="157" t="s">
        <v>238</v>
      </c>
      <c r="G368" s="157" t="str">
        <f t="shared" si="9"/>
        <v/>
      </c>
    </row>
    <row r="369" spans="1:8">
      <c r="A369" s="157" t="s">
        <v>679</v>
      </c>
      <c r="B369" s="163" t="str">
        <f>'N1 Fitment'!T21</f>
        <v>N/A</v>
      </c>
      <c r="C369" s="157" t="s">
        <v>238</v>
      </c>
      <c r="G369" s="157" t="str">
        <f t="shared" si="9"/>
        <v/>
      </c>
    </row>
    <row r="370" spans="1:8">
      <c r="A370" s="157" t="s">
        <v>680</v>
      </c>
      <c r="B370" s="163" t="str">
        <f>'N1 Fitment'!T22</f>
        <v>Opt2</v>
      </c>
      <c r="C370" s="157" t="s">
        <v>238</v>
      </c>
      <c r="G370" s="157" t="str">
        <f t="shared" si="9"/>
        <v/>
      </c>
    </row>
    <row r="371" spans="1:8">
      <c r="A371" s="157" t="s">
        <v>354</v>
      </c>
      <c r="B371" s="163" t="str">
        <f>'N1 Fitment'!T23</f>
        <v>Opt2</v>
      </c>
      <c r="C371" s="157" t="s">
        <v>238</v>
      </c>
      <c r="G371" s="157" t="str">
        <f t="shared" si="9"/>
        <v/>
      </c>
    </row>
    <row r="372" spans="1:8">
      <c r="A372" s="157" t="s">
        <v>681</v>
      </c>
      <c r="B372" s="163" t="str">
        <f>'N1 Fitment'!T24</f>
        <v>N/A</v>
      </c>
      <c r="C372" s="157" t="s">
        <v>238</v>
      </c>
      <c r="G372" s="157" t="str">
        <f t="shared" si="9"/>
        <v/>
      </c>
    </row>
    <row r="373" spans="1:8">
      <c r="A373" s="157" t="s">
        <v>356</v>
      </c>
      <c r="B373" s="163" t="str">
        <f>'N1 Fitment'!T25</f>
        <v>N/A</v>
      </c>
      <c r="C373" s="157" t="s">
        <v>238</v>
      </c>
      <c r="G373" s="157" t="str">
        <f t="shared" si="9"/>
        <v/>
      </c>
    </row>
    <row r="374" spans="1:8">
      <c r="A374" s="157" t="s">
        <v>682</v>
      </c>
      <c r="B374" s="163" t="str">
        <f>'N1 Fitment'!T27</f>
        <v>Opt2</v>
      </c>
      <c r="C374" s="157" t="s">
        <v>238</v>
      </c>
      <c r="G374" s="157" t="str">
        <f t="shared" si="9"/>
        <v/>
      </c>
    </row>
    <row r="375" spans="1:8">
      <c r="A375" s="157" t="s">
        <v>683</v>
      </c>
      <c r="B375" s="163" t="str">
        <f>'N1 Fitment'!T28</f>
        <v>Opt2</v>
      </c>
      <c r="C375" s="157" t="s">
        <v>238</v>
      </c>
      <c r="G375" s="157" t="str">
        <f t="shared" si="9"/>
        <v/>
      </c>
    </row>
    <row r="376" spans="1:8">
      <c r="A376" s="157" t="s">
        <v>684</v>
      </c>
      <c r="B376" s="163" t="str">
        <f>'N1 Fitment'!T29</f>
        <v>Opt2</v>
      </c>
      <c r="C376" s="157" t="s">
        <v>238</v>
      </c>
      <c r="G376" s="157" t="str">
        <f t="shared" si="9"/>
        <v/>
      </c>
    </row>
    <row r="377" spans="1:8">
      <c r="A377" s="157" t="s">
        <v>685</v>
      </c>
      <c r="B377" s="163" t="str">
        <f>'N1 Fitment'!T30</f>
        <v>Opt2</v>
      </c>
      <c r="C377" s="157" t="s">
        <v>238</v>
      </c>
      <c r="G377" s="157" t="str">
        <f t="shared" si="9"/>
        <v/>
      </c>
    </row>
    <row r="378" spans="1:8">
      <c r="A378" s="157" t="s">
        <v>686</v>
      </c>
      <c r="B378" s="163" t="str">
        <f>'N1 Fitment'!T31</f>
        <v>N/A</v>
      </c>
      <c r="C378" s="157" t="s">
        <v>238</v>
      </c>
      <c r="G378" s="157" t="str">
        <f t="shared" si="9"/>
        <v/>
      </c>
    </row>
    <row r="379" spans="1:8">
      <c r="A379" s="157" t="s">
        <v>355</v>
      </c>
      <c r="B379" s="163" t="str">
        <f>'N1 Fitment'!T32</f>
        <v>Opt2</v>
      </c>
      <c r="C379" s="157" t="s">
        <v>238</v>
      </c>
      <c r="G379" s="157" t="str">
        <f t="shared" si="9"/>
        <v/>
      </c>
    </row>
    <row r="380" spans="1:8">
      <c r="A380" s="157" t="s">
        <v>687</v>
      </c>
      <c r="B380" s="163" t="str">
        <f>'N1 Fitment'!T33</f>
        <v>N/A</v>
      </c>
      <c r="C380" s="157" t="s">
        <v>238</v>
      </c>
      <c r="G380" s="157" t="str">
        <f t="shared" si="9"/>
        <v/>
      </c>
    </row>
    <row r="381" spans="1:8">
      <c r="A381" s="157" t="s">
        <v>688</v>
      </c>
      <c r="B381" s="163" t="str">
        <f>'N1 Fitment'!T34</f>
        <v>N/A</v>
      </c>
      <c r="C381" s="157" t="s">
        <v>238</v>
      </c>
      <c r="G381" s="157" t="str">
        <f t="shared" si="9"/>
        <v/>
      </c>
    </row>
    <row r="382" spans="1:8">
      <c r="A382" s="387" t="s">
        <v>786</v>
      </c>
      <c r="B382" s="390" t="str" cm="1">
        <f t="array" ref="B382">IF(B16="N/A","Grey",Colour_ADAS('AEB Car-to-Car'!D33))</f>
        <v>Green</v>
      </c>
      <c r="G382" s="157" t="str">
        <f t="shared" si="9"/>
        <v/>
      </c>
    </row>
    <row r="383" spans="1:8">
      <c r="A383" s="387" t="s">
        <v>787</v>
      </c>
      <c r="B383" s="387" t="str" cm="1">
        <f t="array" ref="B383">IF(B16="N/A","Grey",Colour_ADAS('AEB Car-to-Car'!I33))</f>
        <v>Yellow</v>
      </c>
      <c r="G383" s="157" t="str">
        <f t="shared" si="9"/>
        <v/>
      </c>
      <c r="H383" s="392"/>
    </row>
    <row r="384" spans="1:8">
      <c r="A384" s="387" t="s">
        <v>788</v>
      </c>
      <c r="B384" s="387" t="str" cm="1">
        <f t="array" ref="B384">IF(B16="N/A","Grey",Colour_ADAS('AEB Car-to-Car'!D47))</f>
        <v>Yellow</v>
      </c>
      <c r="G384" s="157" t="str">
        <f t="shared" si="9"/>
        <v/>
      </c>
    </row>
    <row r="385" spans="1:7">
      <c r="A385" s="387" t="s">
        <v>789</v>
      </c>
      <c r="B385" s="387" t="str" cm="1">
        <f t="array" ref="B385">IF(B16="N/A","Grey",Colour_ADAS('AEB Car-to-Car'!I47))</f>
        <v>Green</v>
      </c>
      <c r="G385" s="157" t="str">
        <f t="shared" si="9"/>
        <v/>
      </c>
    </row>
    <row r="386" spans="1:7">
      <c r="A386" s="387" t="s">
        <v>790</v>
      </c>
      <c r="B386" s="387" t="str" cm="1">
        <f t="array" ref="B386">IF(B16="N/A","Grey",Colour_ADAS('AEB Car-to-Car'!D57))</f>
        <v>Green</v>
      </c>
      <c r="G386" s="157" t="str">
        <f t="shared" si="9"/>
        <v/>
      </c>
    </row>
    <row r="387" spans="1:7">
      <c r="A387" s="387" t="s">
        <v>791</v>
      </c>
      <c r="B387" s="387" t="str" cm="1">
        <f t="array" ref="B387">IF(B16="N/A","Grey",Colour_ADAS('AEB Car-to-Car'!I57))</f>
        <v>Green</v>
      </c>
      <c r="G387" s="157" t="str">
        <f t="shared" si="9"/>
        <v/>
      </c>
    </row>
    <row r="388" spans="1:7">
      <c r="A388" s="387" t="s">
        <v>792</v>
      </c>
      <c r="B388" s="387" t="str" cm="1">
        <f t="array" ref="B388">IF(B16="N/A","Grey",Colour_ADAS('AEB Car-to-Car'!D91))</f>
        <v>Red</v>
      </c>
      <c r="G388" s="157" t="str">
        <f t="shared" si="9"/>
        <v/>
      </c>
    </row>
    <row r="389" spans="1:7">
      <c r="A389" s="387" t="s">
        <v>793</v>
      </c>
      <c r="B389" s="158" t="str" cm="1">
        <f t="array" ref="B389">IF(B17="N/A","Grey",Colour_ADAS(AVERAGE('AEB Pedestrian'!D114,'AEB Pedestrian'!D115,'AEB Pedestrian'!D116)))</f>
        <v>Red</v>
      </c>
      <c r="G389" s="157" t="str">
        <f t="shared" si="9"/>
        <v/>
      </c>
    </row>
    <row r="390" spans="1:7">
      <c r="A390" s="387" t="s">
        <v>794</v>
      </c>
      <c r="B390" s="389" t="str" cm="1">
        <f t="array" ref="B390">IF(B17="N/A","Grey",Colour_ADAS(AVERAGE('AEB Pedestrian'!F115,'AEB Pedestrian'!F116)))</f>
        <v>Red</v>
      </c>
      <c r="G390" s="157" t="str">
        <f t="shared" ref="G390:G409" si="10">IF(OR(B390=0,B390=" ",B390=""),0,"")</f>
        <v/>
      </c>
    </row>
    <row r="391" spans="1:7">
      <c r="A391" s="387" t="s">
        <v>795</v>
      </c>
      <c r="B391" s="389" t="str" cm="1">
        <f t="array" ref="B391">IF(B17="N/A","Grey",Colour_ADAS(AVERAGE('AEB Pedestrian'!D118)))</f>
        <v>Orange</v>
      </c>
      <c r="G391" s="157" t="str">
        <f t="shared" si="10"/>
        <v/>
      </c>
    </row>
    <row r="392" spans="1:7">
      <c r="A392" s="387" t="s">
        <v>796</v>
      </c>
      <c r="B392" s="389" t="str" cm="1">
        <f t="array" ref="B392">IF(B17="N/A","Grey",Colour_ADAS(AVERAGE('AEB Pedestrian'!F118)))</f>
        <v>Red</v>
      </c>
      <c r="G392" s="157" t="str">
        <f t="shared" si="10"/>
        <v/>
      </c>
    </row>
    <row r="393" spans="1:7">
      <c r="A393" s="387" t="s">
        <v>797</v>
      </c>
      <c r="B393" s="389" t="str" cm="1">
        <f t="array" ref="B393">IF(B17="N/A","Grey",Colour_ADAS(AVERAGE('AEB Pedestrian'!D117)))</f>
        <v>Red</v>
      </c>
      <c r="G393" s="157" t="str">
        <f t="shared" si="10"/>
        <v/>
      </c>
    </row>
    <row r="394" spans="1:7">
      <c r="A394" s="387" t="s">
        <v>798</v>
      </c>
      <c r="B394" s="389" t="str" cm="1">
        <f t="array" ref="B394">IF(B17="N/A","Grey",Colour_ADAS(AVERAGE('AEB Pedestrian'!D120)))</f>
        <v>Red</v>
      </c>
      <c r="G394" s="157" t="str">
        <f t="shared" si="10"/>
        <v/>
      </c>
    </row>
    <row r="395" spans="1:7">
      <c r="A395" s="387" t="s">
        <v>799</v>
      </c>
      <c r="B395" s="389" t="str" cm="1">
        <f t="array" ref="B395">IF(B17="N/A","Grey",Colour_ADAS(AVERAGE('AEB Pedestrian'!D119)))</f>
        <v>Red</v>
      </c>
      <c r="G395" s="157" t="str">
        <f t="shared" si="10"/>
        <v/>
      </c>
    </row>
    <row r="396" spans="1:7">
      <c r="A396" s="387" t="s">
        <v>800</v>
      </c>
      <c r="B396" s="389" t="str" cm="1">
        <f t="array" ref="B396">IF(B18="N/A","Grey",Colour_ADAS(AVERAGE('AEB Cyclist'!D81,'AEB Cyclist'!D82)))</f>
        <v>Grey</v>
      </c>
      <c r="G396" s="157" t="str">
        <f t="shared" si="10"/>
        <v/>
      </c>
    </row>
    <row r="397" spans="1:7">
      <c r="A397" s="387" t="s">
        <v>801</v>
      </c>
      <c r="B397" s="389" t="str" cm="1">
        <f t="array" ref="B397">IF(B18="N/A","Grey",Colour_ADAS(AVERAGE('AEB Cyclist'!D84)))</f>
        <v>Grey</v>
      </c>
      <c r="G397" s="157" t="str">
        <f t="shared" si="10"/>
        <v/>
      </c>
    </row>
    <row r="398" spans="1:7">
      <c r="A398" s="387" t="s">
        <v>802</v>
      </c>
      <c r="B398" s="389" t="str" cm="1">
        <f t="array" ref="B398">IF(B18="N/A","Grey",Colour_ADAS(AVERAGE('AEB Cyclist'!D83)))</f>
        <v>Grey</v>
      </c>
      <c r="G398" s="157" t="str">
        <f t="shared" si="10"/>
        <v/>
      </c>
    </row>
    <row r="399" spans="1:7">
      <c r="A399" s="157" t="s">
        <v>803</v>
      </c>
      <c r="B399" s="160" t="str">
        <f>'N1 Fitment'!N26</f>
        <v>Opt2</v>
      </c>
      <c r="G399" s="157" t="str">
        <f t="shared" si="10"/>
        <v/>
      </c>
    </row>
    <row r="400" spans="1:7">
      <c r="A400" s="157" t="s">
        <v>804</v>
      </c>
      <c r="B400" s="160" t="str">
        <f>'N1 Fitment'!O26</f>
        <v>Opt2</v>
      </c>
      <c r="G400" s="157" t="str">
        <f t="shared" si="10"/>
        <v/>
      </c>
    </row>
    <row r="401" spans="1:7">
      <c r="A401" s="157" t="s">
        <v>805</v>
      </c>
      <c r="B401" s="164" t="str">
        <f>'N1 Fitment'!P$26</f>
        <v>N/A</v>
      </c>
      <c r="G401" s="157" t="str">
        <f t="shared" si="10"/>
        <v/>
      </c>
    </row>
    <row r="402" spans="1:7">
      <c r="A402" s="157" t="s">
        <v>806</v>
      </c>
      <c r="B402" s="164" t="str">
        <f>'N1 Fitment'!Q26</f>
        <v>N/A</v>
      </c>
      <c r="G402" s="157" t="str">
        <f t="shared" si="10"/>
        <v/>
      </c>
    </row>
    <row r="403" spans="1:7">
      <c r="A403" s="157" t="s">
        <v>807</v>
      </c>
      <c r="B403" s="164" t="str">
        <f>'N1 Fitment'!R26</f>
        <v>Opt2</v>
      </c>
      <c r="G403" s="157" t="str">
        <f t="shared" si="10"/>
        <v/>
      </c>
    </row>
    <row r="404" spans="1:7">
      <c r="A404" s="157" t="s">
        <v>808</v>
      </c>
      <c r="B404" s="164" t="str">
        <f>'N1 Fitment'!S26</f>
        <v>Opt2</v>
      </c>
      <c r="G404" s="157" t="str">
        <f t="shared" si="10"/>
        <v/>
      </c>
    </row>
    <row r="405" spans="1:7">
      <c r="A405" s="157" t="s">
        <v>809</v>
      </c>
      <c r="B405" s="164" t="str">
        <f>'N1 Fitment'!Z26</f>
        <v>Opt2</v>
      </c>
      <c r="G405" s="157" t="str">
        <f t="shared" si="10"/>
        <v/>
      </c>
    </row>
    <row r="406" spans="1:7">
      <c r="A406" s="157" t="s">
        <v>810</v>
      </c>
      <c r="B406" s="164" t="str">
        <f>'N1 Fitment'!Y26</f>
        <v>Std</v>
      </c>
      <c r="G406" s="157" t="str">
        <f t="shared" si="10"/>
        <v/>
      </c>
    </row>
    <row r="407" spans="1:7">
      <c r="A407" s="157" t="s">
        <v>811</v>
      </c>
      <c r="B407" s="164" t="str">
        <f>'N1 Fitment'!V26</f>
        <v>Std</v>
      </c>
      <c r="G407" s="157" t="str">
        <f t="shared" si="10"/>
        <v/>
      </c>
    </row>
    <row r="408" spans="1:7">
      <c r="A408" s="157" t="s">
        <v>812</v>
      </c>
      <c r="B408" s="164" t="str">
        <f>'N1 Fitment'!X26</f>
        <v>Std</v>
      </c>
      <c r="G408" s="157" t="str">
        <f t="shared" si="10"/>
        <v/>
      </c>
    </row>
    <row r="409" spans="1:7">
      <c r="A409" s="387" t="s">
        <v>813</v>
      </c>
      <c r="B409" s="164" t="str">
        <f>'N1 Fitment'!T26</f>
        <v>Opt2</v>
      </c>
      <c r="G409" s="157" t="str">
        <f t="shared" si="10"/>
        <v/>
      </c>
    </row>
  </sheetData>
  <mergeCells count="16">
    <mergeCell ref="M55:N55"/>
    <mergeCell ref="P55:Q55"/>
    <mergeCell ref="T55:U55"/>
    <mergeCell ref="W55:X55"/>
    <mergeCell ref="T41:U41"/>
    <mergeCell ref="W41:X41"/>
    <mergeCell ref="M54:N54"/>
    <mergeCell ref="P54:Q54"/>
    <mergeCell ref="T54:U54"/>
    <mergeCell ref="W54:X54"/>
    <mergeCell ref="W40:X40"/>
    <mergeCell ref="M38:N38"/>
    <mergeCell ref="P38:Q38"/>
    <mergeCell ref="M39:N39"/>
    <mergeCell ref="P39:Q39"/>
    <mergeCell ref="T40:U40"/>
  </mergeCells>
  <conditionalFormatting sqref="B7:B12 B14:B23 B25:B28 B45:B46 B50:B51 B54:B72 B74:B409 B1:B5">
    <cfRule type="expression" dxfId="2" priority="3">
      <formula>IF(B1="",1,0)</formula>
    </cfRule>
  </conditionalFormatting>
  <conditionalFormatting sqref="D1">
    <cfRule type="expression" dxfId="1" priority="2">
      <formula>IF(D1="Check!!",1,0)</formula>
    </cfRule>
  </conditionalFormatting>
  <conditionalFormatting sqref="G1:G5 G7:G12 G14:G23 G25:G28 G45:G46 G50:G51 G54:G72 G74:G409">
    <cfRule type="expression" dxfId="0" priority="1">
      <formula>IF(G1=0,1,0)</formula>
    </cfRule>
  </conditionalFormatting>
  <pageMargins left="0.7" right="0.7" top="0.75" bottom="0.75" header="0.3" footer="0.3"/>
  <pageSetup paperSize="9"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4742699EDB798148BD968B50151EAE4B" ma:contentTypeVersion="7" ma:contentTypeDescription="Create a new document." ma:contentTypeScope="" ma:versionID="9220021107116cec6aff07bb8b721704">
  <xsd:schema xmlns:xsd="http://www.w3.org/2001/XMLSchema" xmlns:xs="http://www.w3.org/2001/XMLSchema" xmlns:p="http://schemas.microsoft.com/office/2006/metadata/properties" xmlns:ns2="3e7beb20-dd5f-42c2-9ff2-1aca06c2c359" xmlns:ns3="70434a54-06da-41fb-ae3b-b16efd57354c" targetNamespace="http://schemas.microsoft.com/office/2006/metadata/properties" ma:root="true" ma:fieldsID="5fe111face64fdf6d472f86f0dfc0983" ns2:_="" ns3:_="">
    <xsd:import namespace="3e7beb20-dd5f-42c2-9ff2-1aca06c2c359"/>
    <xsd:import namespace="70434a54-06da-41fb-ae3b-b16efd57354c"/>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SearchProperties" minOccurs="0"/>
                <xsd:element ref="ns2:MediaServiceObjectDetectorVersion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3e7beb20-dd5f-42c2-9ff2-1aca06c2c35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MediaServiceAutoTags" ma:internalName="MediaServiceAutoTags" ma:readOnly="true">
      <xsd:simpleType>
        <xsd:restriction base="dms:Text"/>
      </xsd:simpleType>
    </xsd:element>
    <xsd:element name="MediaServiceSearchProperties" ma:index="11" nillable="true" ma:displayName="MediaServiceSearchProperties" ma:hidden="true" ma:internalName="MediaServiceSearchProperties" ma:readOnly="true">
      <xsd:simpleType>
        <xsd:restriction base="dms:Note"/>
      </xsd:simpleType>
    </xsd:element>
    <xsd:element name="MediaServiceObjectDetectorVersions" ma:index="12" nillable="true" ma:displayName="MediaServiceObjectDetectorVersions"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70434a54-06da-41fb-ae3b-b16efd57354c" elementFormDefault="qualified">
    <xsd:import namespace="http://schemas.microsoft.com/office/2006/documentManagement/types"/>
    <xsd:import namespace="http://schemas.microsoft.com/office/infopath/2007/PartnerControls"/>
    <xsd:element name="SharedWithUsers" ma:index="13"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4"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F89C7BAB-02C1-4417-8D97-2FEA341434B8}">
  <ds:schemaRefs>
    <ds:schemaRef ds:uri="http://schemas.microsoft.com/sharepoint/v3/contenttype/forms"/>
  </ds:schemaRefs>
</ds:datastoreItem>
</file>

<file path=customXml/itemProps2.xml><?xml version="1.0" encoding="utf-8"?>
<ds:datastoreItem xmlns:ds="http://schemas.openxmlformats.org/officeDocument/2006/customXml" ds:itemID="{247919C7-0F7E-41A2-835C-C50CBB97B7A8}">
  <ds:schemaRefs>
    <ds:schemaRef ds:uri="http://purl.org/dc/terms/"/>
    <ds:schemaRef ds:uri="http://schemas.microsoft.com/office/2006/documentManagement/types"/>
    <ds:schemaRef ds:uri="97f1e0a5-694c-4c69-a89e-558e5a385c20"/>
    <ds:schemaRef ds:uri="http://purl.org/dc/dcmitype/"/>
    <ds:schemaRef ds:uri="http://schemas.microsoft.com/office/infopath/2007/PartnerControls"/>
    <ds:schemaRef ds:uri="ee778dc3-f09c-458e-8857-afcef2d34b10"/>
    <ds:schemaRef ds:uri="4c2bae30-dd35-4efd-9de9-4c884b9f4564"/>
    <ds:schemaRef ds:uri="http://www.w3.org/XML/1998/namespace"/>
    <ds:schemaRef ds:uri="http://schemas.openxmlformats.org/package/2006/metadata/core-properties"/>
    <ds:schemaRef ds:uri="http://schemas.microsoft.com/office/2006/metadata/properties"/>
    <ds:schemaRef ds:uri="http://purl.org/dc/elements/1.1/"/>
    <ds:schemaRef ds:uri="2141db75-5f7d-440b-a591-15223ca4fc2f"/>
    <ds:schemaRef ds:uri="28cfe558-c114-4099-a405-ad15b4ba885e"/>
    <ds:schemaRef ds:uri="http://schemas.microsoft.com/sharepoint/v3"/>
    <ds:schemaRef ds:uri="12ccb9ee-a914-4374-a909-1fd46cbe79f0"/>
  </ds:schemaRefs>
</ds:datastoreItem>
</file>

<file path=customXml/itemProps3.xml><?xml version="1.0" encoding="utf-8"?>
<ds:datastoreItem xmlns:ds="http://schemas.openxmlformats.org/officeDocument/2006/customXml" ds:itemID="{20F9C1A0-29EF-4DEC-A059-5667A05E44DA}"/>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12</vt:i4>
      </vt:variant>
      <vt:variant>
        <vt:lpstr>Named Ranges</vt:lpstr>
      </vt:variant>
      <vt:variant>
        <vt:i4>42</vt:i4>
      </vt:variant>
    </vt:vector>
  </HeadingPairs>
  <TitlesOfParts>
    <vt:vector size="54" baseType="lpstr">
      <vt:lpstr>General Overview</vt:lpstr>
      <vt:lpstr>OVERALL RATING</vt:lpstr>
      <vt:lpstr>FITMENT</vt:lpstr>
      <vt:lpstr>N1 Fitment</vt:lpstr>
      <vt:lpstr>AEB Pedestrian</vt:lpstr>
      <vt:lpstr>AEB Cyclist</vt:lpstr>
      <vt:lpstr>AEB Car-to-Car</vt:lpstr>
      <vt:lpstr>LSS</vt:lpstr>
      <vt:lpstr>SAS 2023</vt:lpstr>
      <vt:lpstr>SAS 2020</vt:lpstr>
      <vt:lpstr>OSM</vt:lpstr>
      <vt:lpstr>Summary</vt:lpstr>
      <vt:lpstr>AT</vt:lpstr>
      <vt:lpstr>BE</vt:lpstr>
      <vt:lpstr>BG</vt:lpstr>
      <vt:lpstr>CCRm_AEB_GOR</vt:lpstr>
      <vt:lpstr>CCRm_AEB_GR</vt:lpstr>
      <vt:lpstr>CCRm_AEB_GYOBR</vt:lpstr>
      <vt:lpstr>CCRm_AEB_GYOR</vt:lpstr>
      <vt:lpstr>CCRm_FCW_GYOBR</vt:lpstr>
      <vt:lpstr>CCRm_FCW_GYOR</vt:lpstr>
      <vt:lpstr>CCRs_AEB_GOR</vt:lpstr>
      <vt:lpstr>CCRs_AEB_GR</vt:lpstr>
      <vt:lpstr>CCRs_AEB_GYOBR</vt:lpstr>
      <vt:lpstr>CCRs_AEB_GYOR</vt:lpstr>
      <vt:lpstr>CCRs_FCW_GYOBR</vt:lpstr>
      <vt:lpstr>CCRs_FCW_GYOR</vt:lpstr>
      <vt:lpstr>CY</vt:lpstr>
      <vt:lpstr>CZ</vt:lpstr>
      <vt:lpstr>DE</vt:lpstr>
      <vt:lpstr>DK</vt:lpstr>
      <vt:lpstr>EE</vt:lpstr>
      <vt:lpstr>ES</vt:lpstr>
      <vt:lpstr>FI</vt:lpstr>
      <vt:lpstr>FR</vt:lpstr>
      <vt:lpstr>GB</vt:lpstr>
      <vt:lpstr>GR</vt:lpstr>
      <vt:lpstr>HR</vt:lpstr>
      <vt:lpstr>HU</vt:lpstr>
      <vt:lpstr>IE</vt:lpstr>
      <vt:lpstr>IT</vt:lpstr>
      <vt:lpstr>LT</vt:lpstr>
      <vt:lpstr>LU</vt:lpstr>
      <vt:lpstr>LV</vt:lpstr>
      <vt:lpstr>MT</vt:lpstr>
      <vt:lpstr>NL</vt:lpstr>
      <vt:lpstr>PL</vt:lpstr>
      <vt:lpstr>PT</vt:lpstr>
      <vt:lpstr>RO</vt:lpstr>
      <vt:lpstr>Round</vt:lpstr>
      <vt:lpstr>SE</vt:lpstr>
      <vt:lpstr>SI</vt:lpstr>
      <vt:lpstr>SK</vt:lpstr>
      <vt:lpstr>UK</vt:lpstr>
    </vt:vector>
  </TitlesOfParts>
  <Company>Euro NCAP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23-TOY-V040-Toyota Proace</dc:title>
  <dc:creator>Euro NCAP</dc:creator>
  <cp:lastModifiedBy>Aled Williams</cp:lastModifiedBy>
  <cp:lastPrinted>2015-10-01T12:44:07Z</cp:lastPrinted>
  <dcterms:created xsi:type="dcterms:W3CDTF">2000-07-21T08:56:37Z</dcterms:created>
  <dcterms:modified xsi:type="dcterms:W3CDTF">2023-02-21T15:53:37Z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0x0101004742699EDB798148BD968B50151EAE4B</vt:lpwstr>
  </property>
  <property fmtid="{D5CDD505-2E9C-101B-9397-08002B2CF9AE}" pid="3" name="IsMyDocuments">
    <vt:bool>true</vt:bool>
  </property>
  <property fmtid="{D5CDD505-2E9C-101B-9397-08002B2CF9AE}" pid="4" name="Category">
    <vt:lpwstr>11;#General|69d68ca3-8bd3-4921-ae8b-add180e9cf03</vt:lpwstr>
  </property>
  <property fmtid="{D5CDD505-2E9C-101B-9397-08002B2CF9AE}" pid="5" name="odfe3c6e925f45dfafc887e492f68296">
    <vt:lpwstr>General|69d68ca3-8bd3-4921-ae8b-add180e9cf03</vt:lpwstr>
  </property>
  <property fmtid="{D5CDD505-2E9C-101B-9397-08002B2CF9AE}" pid="6" name="AuthorIds_UIVersion_1024">
    <vt:lpwstr>12</vt:lpwstr>
  </property>
  <property fmtid="{D5CDD505-2E9C-101B-9397-08002B2CF9AE}" pid="7" name="AuthorIds_UIVersion_2048">
    <vt:lpwstr>12</vt:lpwstr>
  </property>
  <property fmtid="{D5CDD505-2E9C-101B-9397-08002B2CF9AE}" pid="8" name="MediaServiceImageTags">
    <vt:lpwstr/>
  </property>
</Properties>
</file>